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col\Desktop\Coding Project\PROYECTAMOS\Valle de Aburrá\visor-amva\src\assets\Zonificacion\"/>
    </mc:Choice>
  </mc:AlternateContent>
  <xr:revisionPtr revIDLastSave="0" documentId="13_ncr:1_{CCD5F1DA-0E82-463F-A29C-577F4D087513}" xr6:coauthVersionLast="47" xr6:coauthVersionMax="47" xr10:uidLastSave="{00000000-0000-0000-0000-000000000000}"/>
  <bookViews>
    <workbookView xWindow="-108" yWindow="-108" windowWidth="23256" windowHeight="13896" firstSheet="1" activeTab="3" xr2:uid="{00000000-000D-0000-FFFF-FFFF00000000}"/>
  </bookViews>
  <sheets>
    <sheet name="municipio" sheetId="1" r:id="rId1"/>
    <sheet name="zonas sit" sheetId="2" r:id="rId2"/>
    <sheet name="macozonas" sheetId="3" r:id="rId3"/>
    <sheet name="Hoja1" sheetId="5" r:id="rId4"/>
    <sheet name="SIT ext Antioquia y resto pais " sheetId="4" r:id="rId5"/>
  </sheets>
  <definedNames>
    <definedName name="_xlnm._FilterDatabase" localSheetId="3" hidden="1">Hoja1!$A$1:$C$1</definedName>
    <definedName name="_xlnm._FilterDatabase" localSheetId="2" hidden="1">Hoja1!$A$1:$C$1</definedName>
    <definedName name="_xlnm._FilterDatabase" localSheetId="1" hidden="1">'zonas sit'!$A$1:$C$537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5" l="1"/>
  <c r="D67" i="3"/>
  <c r="E67" i="3"/>
  <c r="B17" i="5"/>
  <c r="A17" i="5"/>
  <c r="D66" i="3"/>
  <c r="E66" i="3"/>
  <c r="B66" i="5"/>
  <c r="A66" i="5"/>
  <c r="D65" i="3"/>
  <c r="E65" i="3"/>
  <c r="B67" i="5"/>
  <c r="A67" i="5"/>
  <c r="D64" i="3"/>
  <c r="B32" i="5"/>
  <c r="A32" i="5"/>
  <c r="D63" i="3"/>
  <c r="B30" i="5"/>
  <c r="A30" i="5"/>
  <c r="D62" i="3"/>
  <c r="B29" i="5"/>
  <c r="A29" i="5"/>
  <c r="D61" i="3"/>
  <c r="B31" i="5"/>
  <c r="A31" i="5"/>
  <c r="D60" i="3"/>
  <c r="B24" i="5"/>
  <c r="A24" i="5"/>
  <c r="D59" i="3"/>
  <c r="B28" i="5"/>
  <c r="A28" i="5"/>
  <c r="D58" i="3"/>
  <c r="B33" i="5"/>
  <c r="A33" i="5"/>
  <c r="D57" i="3"/>
  <c r="B23" i="5"/>
  <c r="A23" i="5"/>
  <c r="D56" i="3"/>
  <c r="B25" i="5"/>
  <c r="A25" i="5"/>
  <c r="D55" i="3"/>
  <c r="B21" i="5"/>
  <c r="A21" i="5"/>
  <c r="D54" i="3"/>
  <c r="B22" i="5"/>
  <c r="A22" i="5"/>
  <c r="D53" i="3"/>
  <c r="B27" i="5"/>
  <c r="A27" i="5"/>
  <c r="D52" i="3"/>
  <c r="B26" i="5"/>
  <c r="A26" i="5"/>
  <c r="D51" i="3"/>
  <c r="E51" i="3"/>
  <c r="B43" i="5"/>
  <c r="A43" i="5"/>
  <c r="D50" i="3"/>
  <c r="E50" i="3"/>
  <c r="B38" i="5"/>
  <c r="A38" i="5"/>
  <c r="D49" i="3"/>
  <c r="E49" i="3"/>
  <c r="B50" i="5"/>
  <c r="A50" i="5"/>
  <c r="D48" i="3"/>
  <c r="E48" i="3"/>
  <c r="B53" i="5"/>
  <c r="A53" i="5"/>
  <c r="D47" i="3"/>
  <c r="E47" i="3"/>
  <c r="B49" i="5"/>
  <c r="A49" i="5"/>
  <c r="D46" i="3"/>
  <c r="E46" i="3"/>
  <c r="B51" i="5"/>
  <c r="A51" i="5"/>
  <c r="D45" i="3"/>
  <c r="E45" i="3"/>
  <c r="B52" i="5"/>
  <c r="A52" i="5"/>
  <c r="D44" i="3"/>
  <c r="E44" i="3"/>
  <c r="B34" i="5"/>
  <c r="A34" i="5"/>
  <c r="D43" i="3"/>
  <c r="E43" i="3"/>
  <c r="B19" i="5"/>
  <c r="A19" i="5"/>
  <c r="D42" i="3"/>
  <c r="E42" i="3"/>
  <c r="B2" i="5"/>
  <c r="A2" i="5"/>
  <c r="D41" i="3"/>
  <c r="E41" i="3"/>
  <c r="B15" i="5"/>
  <c r="A15" i="5"/>
  <c r="D40" i="3"/>
  <c r="A8" i="5"/>
  <c r="D39" i="3"/>
  <c r="B14" i="5"/>
  <c r="A14" i="5"/>
  <c r="D38" i="3"/>
  <c r="B10" i="5"/>
  <c r="A10" i="5"/>
  <c r="D37" i="3"/>
  <c r="B13" i="5"/>
  <c r="A13" i="5"/>
  <c r="D36" i="3"/>
  <c r="E36" i="3"/>
  <c r="B20" i="5"/>
  <c r="A20" i="5"/>
  <c r="D35" i="3"/>
  <c r="B4" i="5"/>
  <c r="A4" i="5"/>
  <c r="D34" i="3"/>
  <c r="E34" i="3"/>
  <c r="B64" i="5"/>
  <c r="A64" i="5"/>
  <c r="D33" i="3"/>
  <c r="E33" i="3"/>
  <c r="B54" i="5"/>
  <c r="A54" i="5"/>
  <c r="D32" i="3"/>
  <c r="E32" i="3"/>
  <c r="B61" i="5"/>
  <c r="A61" i="5"/>
  <c r="D31" i="3"/>
  <c r="E31" i="3"/>
  <c r="B48" i="5"/>
  <c r="A48" i="5"/>
  <c r="D30" i="3"/>
  <c r="B9" i="5"/>
  <c r="A9" i="5"/>
  <c r="D29" i="3"/>
  <c r="B12" i="5"/>
  <c r="A12" i="5"/>
  <c r="D28" i="3"/>
  <c r="E28" i="3"/>
  <c r="B35" i="5"/>
  <c r="A35" i="5"/>
  <c r="D27" i="3"/>
  <c r="E27" i="3"/>
  <c r="B3" i="5"/>
  <c r="A3" i="5"/>
  <c r="D26" i="3"/>
  <c r="E26" i="3"/>
  <c r="B44" i="5"/>
  <c r="A44" i="5"/>
  <c r="D25" i="3"/>
  <c r="E25" i="3"/>
  <c r="B18" i="5"/>
  <c r="A18" i="5"/>
  <c r="D24" i="3"/>
  <c r="B42" i="5"/>
  <c r="A42" i="5"/>
  <c r="D23" i="3"/>
  <c r="E23" i="3"/>
  <c r="B63" i="5"/>
  <c r="A63" i="5"/>
  <c r="D22" i="3"/>
  <c r="E22" i="3"/>
  <c r="B59" i="5"/>
  <c r="A59" i="5"/>
  <c r="D21" i="3"/>
  <c r="E21" i="3"/>
  <c r="B65" i="5"/>
  <c r="A65" i="5"/>
  <c r="D20" i="3"/>
  <c r="E20" i="3"/>
  <c r="B58" i="5"/>
  <c r="A58" i="5"/>
  <c r="D19" i="3"/>
  <c r="E19" i="3"/>
  <c r="B57" i="5"/>
  <c r="A57" i="5"/>
  <c r="D18" i="3"/>
  <c r="E18" i="3"/>
  <c r="B45" i="5"/>
  <c r="A45" i="5"/>
  <c r="D17" i="3"/>
  <c r="E17" i="3"/>
  <c r="B46" i="5"/>
  <c r="A46" i="5"/>
  <c r="D16" i="3"/>
  <c r="E16" i="3"/>
  <c r="B47" i="5"/>
  <c r="A47" i="5"/>
  <c r="D15" i="3"/>
  <c r="E15" i="3"/>
  <c r="B56" i="5"/>
  <c r="A56" i="5"/>
  <c r="D14" i="3"/>
  <c r="E14" i="3"/>
  <c r="B60" i="5"/>
  <c r="A60" i="5"/>
  <c r="D13" i="3"/>
  <c r="E13" i="3"/>
  <c r="B55" i="5"/>
  <c r="A55" i="5"/>
  <c r="D12" i="3"/>
  <c r="E12" i="3"/>
  <c r="B62" i="5"/>
  <c r="A62" i="5"/>
  <c r="D11" i="3"/>
  <c r="B7" i="5"/>
  <c r="A7" i="5"/>
  <c r="D10" i="3"/>
  <c r="B5" i="5"/>
  <c r="A5" i="5"/>
  <c r="D9" i="3"/>
  <c r="B16" i="5"/>
  <c r="A16" i="5"/>
  <c r="D8" i="3"/>
  <c r="B40" i="5"/>
  <c r="A40" i="5"/>
  <c r="D7" i="3"/>
  <c r="B6" i="5"/>
  <c r="A6" i="5"/>
  <c r="D6" i="3"/>
  <c r="B11" i="5"/>
  <c r="A11" i="5"/>
  <c r="D5" i="3"/>
  <c r="B39" i="5"/>
  <c r="A39" i="5"/>
  <c r="D4" i="3"/>
  <c r="B41" i="5"/>
  <c r="A41" i="5"/>
  <c r="D3" i="3"/>
  <c r="B36" i="5"/>
  <c r="A36" i="5"/>
  <c r="D2" i="3"/>
  <c r="B37" i="5"/>
  <c r="A37" i="5"/>
</calcChain>
</file>

<file path=xl/sharedStrings.xml><?xml version="1.0" encoding="utf-8"?>
<sst xmlns="http://schemas.openxmlformats.org/spreadsheetml/2006/main" count="1335" uniqueCount="233">
  <si>
    <t xml:space="preserve">Municipio </t>
  </si>
  <si>
    <t>Barbosa</t>
  </si>
  <si>
    <t>Bello</t>
  </si>
  <si>
    <t>Caldas</t>
  </si>
  <si>
    <t>Copacabana</t>
  </si>
  <si>
    <t>Envigado</t>
  </si>
  <si>
    <t>Girardota</t>
  </si>
  <si>
    <t>Itagüí</t>
  </si>
  <si>
    <t>La Estrella</t>
  </si>
  <si>
    <t>Medellín</t>
  </si>
  <si>
    <t>Sabaneta</t>
  </si>
  <si>
    <t>MUNICIPIO</t>
  </si>
  <si>
    <t>MACROZONA</t>
  </si>
  <si>
    <t>Medellin</t>
  </si>
  <si>
    <t>Popular</t>
  </si>
  <si>
    <t>Manrique</t>
  </si>
  <si>
    <t>Santa Cruz</t>
  </si>
  <si>
    <t>Aranjuez</t>
  </si>
  <si>
    <t>Castilla</t>
  </si>
  <si>
    <t>Robledo</t>
  </si>
  <si>
    <t>Doce de Octubre</t>
  </si>
  <si>
    <t>Villa Hermosa</t>
  </si>
  <si>
    <t>Buenos Aires</t>
  </si>
  <si>
    <t>La Candelaria</t>
  </si>
  <si>
    <t>Corregimiento Santa Elena</t>
  </si>
  <si>
    <t>Laureles - Estadio</t>
  </si>
  <si>
    <t>La America</t>
  </si>
  <si>
    <t>San Javier</t>
  </si>
  <si>
    <t>El Poblado</t>
  </si>
  <si>
    <t>Belen</t>
  </si>
  <si>
    <t>Guayabal</t>
  </si>
  <si>
    <t>Corregimiento San Cristobal</t>
  </si>
  <si>
    <t>Corregimiento Altavista</t>
  </si>
  <si>
    <t>Corregimiento San Sebastian de Pal Prado</t>
  </si>
  <si>
    <t>Corregimiento San Antonio de Prado</t>
  </si>
  <si>
    <t>Urbana Barbosa</t>
  </si>
  <si>
    <t>Rural Barbosa</t>
  </si>
  <si>
    <t>Urbana Girardota</t>
  </si>
  <si>
    <t>Urbano Copacabana</t>
  </si>
  <si>
    <t>Rural Copacabana</t>
  </si>
  <si>
    <t>Rural Bello</t>
  </si>
  <si>
    <t>Comuna 09</t>
  </si>
  <si>
    <t>Comuna 07</t>
  </si>
  <si>
    <t>Comuna 08</t>
  </si>
  <si>
    <t>Comuna 10</t>
  </si>
  <si>
    <t>Comuna 06</t>
  </si>
  <si>
    <t>Comuna 04</t>
  </si>
  <si>
    <t>Comuna 03</t>
  </si>
  <si>
    <t>Comuna 11</t>
  </si>
  <si>
    <t>Comuna 05</t>
  </si>
  <si>
    <t>Comuna 02</t>
  </si>
  <si>
    <t>Comuna 01</t>
  </si>
  <si>
    <t>Itagui</t>
  </si>
  <si>
    <t>Rural Itagui</t>
  </si>
  <si>
    <t>Zona 02</t>
  </si>
  <si>
    <t>Zona 03</t>
  </si>
  <si>
    <t>Zona 06</t>
  </si>
  <si>
    <t>Zona 09</t>
  </si>
  <si>
    <t>Zona 07</t>
  </si>
  <si>
    <t>Zona 01</t>
  </si>
  <si>
    <t>Urbana Sabaneta</t>
  </si>
  <si>
    <t>Urbana La Estrella</t>
  </si>
  <si>
    <t>Rural La Estrella</t>
  </si>
  <si>
    <t>Zona 08</t>
  </si>
  <si>
    <t>Zona 04</t>
  </si>
  <si>
    <t>Zona 05</t>
  </si>
  <si>
    <t>Rural Sabaneta</t>
  </si>
  <si>
    <t>Urbano Caldas</t>
  </si>
  <si>
    <t>Rural Caldas</t>
  </si>
  <si>
    <t>Rural 04</t>
  </si>
  <si>
    <t>Rural 03</t>
  </si>
  <si>
    <t>Rural 01</t>
  </si>
  <si>
    <t>Rural Girardota</t>
  </si>
  <si>
    <t>Municipios Oriente</t>
  </si>
  <si>
    <t>Marinilla</t>
  </si>
  <si>
    <t>Gaurne</t>
  </si>
  <si>
    <t>Rionegro</t>
  </si>
  <si>
    <t>La Ceja</t>
  </si>
  <si>
    <t>El Retiro</t>
  </si>
  <si>
    <t>Municipios Norte</t>
  </si>
  <si>
    <t>Municipios Occidente</t>
  </si>
  <si>
    <t>Municipios del Sur</t>
  </si>
  <si>
    <t>Guatape Peñol</t>
  </si>
  <si>
    <t>La Unión</t>
  </si>
  <si>
    <t>Comuna 12</t>
  </si>
  <si>
    <t>Rural 02</t>
  </si>
  <si>
    <t>Guarne</t>
  </si>
  <si>
    <t>Carmen de Vivoral</t>
  </si>
  <si>
    <t>Belén</t>
  </si>
  <si>
    <t>La América</t>
  </si>
  <si>
    <t>Laureles-Estadio</t>
  </si>
  <si>
    <t>Corregimiento San Cristóbal</t>
  </si>
  <si>
    <t>SECTOR</t>
  </si>
  <si>
    <t>REGION</t>
  </si>
  <si>
    <t>MUNICIPIOS O DEPARTAMENTOS</t>
  </si>
  <si>
    <t>Resto de Antioquia</t>
  </si>
  <si>
    <t>Bajo Cauca</t>
  </si>
  <si>
    <t>Caucasia - Cáceres - El Bagre - Nechí - Tarazá – Zaragoza</t>
  </si>
  <si>
    <t>Magdalena Medio</t>
  </si>
  <si>
    <t>Caracolí - Maceo - Puerto Berrío - Puerto Nare - Puerto Triunfo – Yondó</t>
  </si>
  <si>
    <t>Nordeste</t>
  </si>
  <si>
    <t>Amalfi - Anorí - Cisneros - Remedios - San Roque - Segovia - Vegachí - Yalí – Yolombó</t>
  </si>
  <si>
    <t>Norte</t>
  </si>
  <si>
    <t>Angostura - Belmira - Briceño - Campamento - Carolina del Príncipe - Entrerríos - Gómez Plata - Guadalupe - Ituango - San Andrés de Cuerquia - San José de la Montaña - Santa Rosa de Osos - Toledo - Valdivia - Yarumal</t>
  </si>
  <si>
    <t>Occidente</t>
  </si>
  <si>
    <t>Abriaquí - Anzá -Buriticá - Caicedo - Cañasgordas - Dabeiba - Frontino - Giraldo - Liborina - Peque - Sabanalarga - Uramita</t>
  </si>
  <si>
    <t>Oriente</t>
  </si>
  <si>
    <t>Abejorral - Alejandría - Argelia - Cocorná - El Peñol - Granada - Nariño - San Carlos - San Francisco - San Luis - San Rafael - Sonsón</t>
  </si>
  <si>
    <t>Suroeste</t>
  </si>
  <si>
    <t>Andes - Betania - Betulia - Caramanta - Ciudad Bolívar - Concordia - Hispania - Jardín - Jericó - La Pintada - Pueblorrico - Salgar - Támesis - Tarso - Urrao - Valparaíso</t>
  </si>
  <si>
    <t>Urabá</t>
  </si>
  <si>
    <t>Apartadó - Arboletes - Carepa - Chigorodó - Murindó - Mutatá - Necoclí - San Juan de Urabá - San Pedro de Urabá - Turbo - Vigía del Fuerte</t>
  </si>
  <si>
    <t>Resto de Colombia</t>
  </si>
  <si>
    <t>Amazonia</t>
  </si>
  <si>
    <t xml:space="preserve"> Amazonas - Putumayo - Caquetá - Guaviare - Vaupés</t>
  </si>
  <si>
    <t>Orinoquia</t>
  </si>
  <si>
    <t>Arauca - Casanare - Meta - Vichada - Guainía</t>
  </si>
  <si>
    <t>Pacífico</t>
  </si>
  <si>
    <t>Choco - Valle del Cauca - Cauca - Nariño</t>
  </si>
  <si>
    <t>Andina</t>
  </si>
  <si>
    <t>Risaralda - Caldas - Quindío - Tolima - Huila - Cundinamarca - Boyacá - Santander - Norte de Santander</t>
  </si>
  <si>
    <t>Caribe - Insular</t>
  </si>
  <si>
    <t>Guajira - Magdalena - Atlántico - Bolívar - Cesar - Sucre - Córdoba - San Andrés - Providencia y Santa Catalina - Gorgona - Gorgonilla - Malpelo</t>
  </si>
  <si>
    <t>Código Municipio</t>
  </si>
  <si>
    <t>Código ZONA SIT_2017</t>
  </si>
  <si>
    <t>Código Macrozona</t>
  </si>
  <si>
    <t>Nombre Macrozona 2017</t>
  </si>
  <si>
    <t>Código_SIT</t>
  </si>
  <si>
    <t>N_Municipio</t>
  </si>
  <si>
    <t>Macro</t>
  </si>
  <si>
    <t>Urbana</t>
  </si>
  <si>
    <t>Rural</t>
  </si>
  <si>
    <t>Santa Ana</t>
  </si>
  <si>
    <t>Bellavista</t>
  </si>
  <si>
    <t>Altos de Niquía</t>
  </si>
  <si>
    <t>Niquía</t>
  </si>
  <si>
    <t>Fontidueño</t>
  </si>
  <si>
    <t>Madera</t>
  </si>
  <si>
    <t>Paris</t>
  </si>
  <si>
    <t>San Pio</t>
  </si>
  <si>
    <t>San Francisco</t>
  </si>
  <si>
    <t>El Rosario</t>
  </si>
  <si>
    <t>Z. Centro</t>
  </si>
  <si>
    <t>Santa Maria</t>
  </si>
  <si>
    <t>Calatrava</t>
  </si>
  <si>
    <t>La Cumbre - El Carmelo</t>
  </si>
  <si>
    <t>Acevedo</t>
  </si>
  <si>
    <t>Centro Bello</t>
  </si>
  <si>
    <t>Croacia - El Pinar</t>
  </si>
  <si>
    <t>Guasimalito</t>
  </si>
  <si>
    <t>El Dorado - La Paz</t>
  </si>
  <si>
    <t>San Marcos</t>
  </si>
  <si>
    <t>Vereda El Escobero</t>
  </si>
  <si>
    <t>Vereda El Vallano</t>
  </si>
  <si>
    <t>Vereda Las Palmas</t>
  </si>
  <si>
    <t>Vereda Perico y Pantanillo</t>
  </si>
  <si>
    <t>Alcalá</t>
  </si>
  <si>
    <t>El Esmeraldal</t>
  </si>
  <si>
    <t>La Inmaculada</t>
  </si>
  <si>
    <t>Las Flores - Alto de Misael</t>
  </si>
  <si>
    <t>Las Vegas</t>
  </si>
  <si>
    <t>San José</t>
  </si>
  <si>
    <t>Corregimiento San Antonio</t>
  </si>
  <si>
    <t>Corregimiento San Sebastián</t>
  </si>
  <si>
    <t>Id Macrozona 2017</t>
  </si>
  <si>
    <t>Girardota - Rural</t>
  </si>
  <si>
    <t>Girardota - Urbana</t>
  </si>
  <si>
    <t>Id Real Macrozona 2017</t>
  </si>
  <si>
    <t>Barbosa - Urbana</t>
  </si>
  <si>
    <t>Barbosa - Rural</t>
  </si>
  <si>
    <t>Copacabana - Rural</t>
  </si>
  <si>
    <t>Copacabana - Urbana</t>
  </si>
  <si>
    <t>Caldas - Urbana</t>
  </si>
  <si>
    <t>Caldas - Rural</t>
  </si>
  <si>
    <t>Medellín - El Poblado</t>
  </si>
  <si>
    <t>Medellín - Guayabal</t>
  </si>
  <si>
    <t>Medellín - Belén</t>
  </si>
  <si>
    <t>Medellín - Corregimiento San Sebastián</t>
  </si>
  <si>
    <t>Medellín - Corregimiento San Cristóbal</t>
  </si>
  <si>
    <t>Medellín - Corregimiento Altavista</t>
  </si>
  <si>
    <t>Medellín - Corregimiento San Antonio</t>
  </si>
  <si>
    <t>Medellín - Corregimiento Santa Elena</t>
  </si>
  <si>
    <t>Medellín - San Javier</t>
  </si>
  <si>
    <t>Medellín - Laureles-Estadio</t>
  </si>
  <si>
    <t>Medellín - La Candelaria</t>
  </si>
  <si>
    <t>Medellín - Aranjuez</t>
  </si>
  <si>
    <t>Medellín - Robledo</t>
  </si>
  <si>
    <t>Medellín - Doce de Octubre</t>
  </si>
  <si>
    <t>Medellín - Buenos Aires</t>
  </si>
  <si>
    <t>Medellín - Villa Hermosa</t>
  </si>
  <si>
    <t>Medellín - Manrique</t>
  </si>
  <si>
    <t>Medellín - Popular</t>
  </si>
  <si>
    <t>Medellín - Santa Cruz</t>
  </si>
  <si>
    <t>Medellín - La América</t>
  </si>
  <si>
    <t>Medellín - Castilla</t>
  </si>
  <si>
    <t>Envigado - Vereda El Vallano</t>
  </si>
  <si>
    <t>Envigado - Vereda El Escobero</t>
  </si>
  <si>
    <t>Envigado - Vereda Perico y Pantanillo</t>
  </si>
  <si>
    <t>Envigado - Vereda Las Palmas</t>
  </si>
  <si>
    <t>Envigado - El Esmeraldal</t>
  </si>
  <si>
    <t>Envigado - La Inmaculada</t>
  </si>
  <si>
    <t>Envigado - Las Flores - Alto de Misael</t>
  </si>
  <si>
    <t>Envigado - El Dorado - La Paz</t>
  </si>
  <si>
    <t>Envigado - San José</t>
  </si>
  <si>
    <t>Envigado - Z. Centro</t>
  </si>
  <si>
    <t>Envigado - San Marcos</t>
  </si>
  <si>
    <t>Envigado - Las Vegas</t>
  </si>
  <si>
    <t>Envigado - Alcalá</t>
  </si>
  <si>
    <t>Itagüí - Rural</t>
  </si>
  <si>
    <t>Itagüí - Z. Centro</t>
  </si>
  <si>
    <t>Itagüí - San Francisco</t>
  </si>
  <si>
    <t>Itagüí - San Pio</t>
  </si>
  <si>
    <t>Itagüí - Santa Maria</t>
  </si>
  <si>
    <t>La Estrella - Urbana</t>
  </si>
  <si>
    <t>Sabaneta - Urbana</t>
  </si>
  <si>
    <t>Sabaneta - Rural</t>
  </si>
  <si>
    <t>La Estrella - Rural</t>
  </si>
  <si>
    <t>Bello - Paris</t>
  </si>
  <si>
    <t>Bello - Madera</t>
  </si>
  <si>
    <t>Bello - Santa Ana</t>
  </si>
  <si>
    <t>Bello - La Cumbre - El Carmelo</t>
  </si>
  <si>
    <t>Bello - Bellavista</t>
  </si>
  <si>
    <t>Bello - Altos de Niquía</t>
  </si>
  <si>
    <t>Bello - Niquía</t>
  </si>
  <si>
    <t>Bello - Fontidueño</t>
  </si>
  <si>
    <t>Bello - Acevedo</t>
  </si>
  <si>
    <t>Bello - Rural</t>
  </si>
  <si>
    <t>Bello - Croacia - El Pinar</t>
  </si>
  <si>
    <t>Bello - Centro Bello</t>
  </si>
  <si>
    <t>Bello - Guasimalito</t>
  </si>
  <si>
    <t>Itagüí - Calatrava</t>
  </si>
  <si>
    <t>Itagüí - El Rosario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</si>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</sst>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1" fillId="0" borderId="1" xfId="0" applyFont="1" applyBorder="1" applyAlignment="1">
      <alignment horizontal="center"/>
    </xf>
    <xf numFmtId="1" fontId="4" fillId="0" borderId="1" xfId="0" applyNumberFormat="1" applyFont="1" applyBorder="1"/>
    <xf numFmtId="0" fontId="4" fillId="0" borderId="1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horizontal="left" wrapText="1"/>
    </xf>
    <xf numFmtId="1" fontId="4" fillId="0" borderId="1" xfId="0" applyNumberFormat="1" applyFont="1" applyBorder="1" applyAlignment="1">
      <alignment horizontal="left"/>
    </xf>
    <xf numFmtId="0" fontId="0" fillId="0" borderId="1" xfId="0" applyBorder="1" applyAlignment="1">
      <alignment horizontal="left"/>
    </xf>
    <xf numFmtId="1" fontId="5" fillId="0" borderId="1" xfId="0" applyNumberFormat="1" applyFont="1" applyBorder="1"/>
    <xf numFmtId="1" fontId="5" fillId="0" borderId="1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 wrapText="1"/>
    </xf>
    <xf numFmtId="0" fontId="4" fillId="3" borderId="1" xfId="0" applyFont="1" applyFill="1" applyBorder="1"/>
    <xf numFmtId="1" fontId="0" fillId="0" borderId="1" xfId="0" applyNumberFormat="1" applyBorder="1" applyAlignment="1">
      <alignment horizontal="left"/>
    </xf>
    <xf numFmtId="1" fontId="0" fillId="0" borderId="0" xfId="0" applyNumberFormat="1"/>
    <xf numFmtId="1" fontId="5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3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0" fontId="3" fillId="0" borderId="4" xfId="0" applyFont="1" applyBorder="1" applyAlignment="1">
      <alignment wrapText="1"/>
    </xf>
  </cellXfs>
  <cellStyles count="1">
    <cellStyle name="Normal" xfId="0" builtinId="0"/>
  </cellStyles>
  <dxfs count="1"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selection activeCell="C14" sqref="C14"/>
    </sheetView>
  </sheetViews>
  <sheetFormatPr baseColWidth="10" defaultRowHeight="14.4" x14ac:dyDescent="0.3"/>
  <cols>
    <col min="1" max="1" width="16.6640625" bestFit="1" customWidth="1"/>
  </cols>
  <sheetData>
    <row r="1" spans="1:2" x14ac:dyDescent="0.3">
      <c r="A1" s="3" t="s">
        <v>123</v>
      </c>
      <c r="B1" s="3" t="s">
        <v>0</v>
      </c>
    </row>
    <row r="2" spans="1:2" x14ac:dyDescent="0.3">
      <c r="A2" s="15">
        <v>1</v>
      </c>
      <c r="B2" s="9" t="s">
        <v>9</v>
      </c>
    </row>
    <row r="3" spans="1:2" x14ac:dyDescent="0.3">
      <c r="A3" s="15">
        <v>79</v>
      </c>
      <c r="B3" s="9" t="s">
        <v>1</v>
      </c>
    </row>
    <row r="4" spans="1:2" x14ac:dyDescent="0.3">
      <c r="A4" s="15">
        <v>88</v>
      </c>
      <c r="B4" s="9" t="s">
        <v>2</v>
      </c>
    </row>
    <row r="5" spans="1:2" x14ac:dyDescent="0.3">
      <c r="A5" s="15">
        <v>129</v>
      </c>
      <c r="B5" s="9" t="s">
        <v>3</v>
      </c>
    </row>
    <row r="6" spans="1:2" x14ac:dyDescent="0.3">
      <c r="A6" s="15">
        <v>212</v>
      </c>
      <c r="B6" s="9" t="s">
        <v>4</v>
      </c>
    </row>
    <row r="7" spans="1:2" x14ac:dyDescent="0.3">
      <c r="A7" s="15">
        <v>266</v>
      </c>
      <c r="B7" s="9" t="s">
        <v>5</v>
      </c>
    </row>
    <row r="8" spans="1:2" x14ac:dyDescent="0.3">
      <c r="A8" s="15">
        <v>308</v>
      </c>
      <c r="B8" s="9" t="s">
        <v>6</v>
      </c>
    </row>
    <row r="9" spans="1:2" x14ac:dyDescent="0.3">
      <c r="A9" s="15">
        <v>360</v>
      </c>
      <c r="B9" s="9" t="s">
        <v>7</v>
      </c>
    </row>
    <row r="10" spans="1:2" x14ac:dyDescent="0.3">
      <c r="A10" s="15">
        <v>380</v>
      </c>
      <c r="B10" s="9" t="s">
        <v>8</v>
      </c>
    </row>
    <row r="11" spans="1:2" x14ac:dyDescent="0.3">
      <c r="A11" s="15">
        <v>631</v>
      </c>
      <c r="B11" s="9" t="s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37"/>
  <sheetViews>
    <sheetView topLeftCell="A523" workbookViewId="0">
      <selection activeCell="A440" sqref="A440"/>
    </sheetView>
  </sheetViews>
  <sheetFormatPr baseColWidth="10" defaultRowHeight="14.4" x14ac:dyDescent="0.3"/>
  <cols>
    <col min="1" max="1" width="20.88671875" customWidth="1"/>
    <col min="2" max="2" width="20.33203125" bestFit="1" customWidth="1"/>
    <col min="3" max="3" width="38.5546875" bestFit="1" customWidth="1"/>
  </cols>
  <sheetData>
    <row r="1" spans="1:3" x14ac:dyDescent="0.3">
      <c r="A1" s="7" t="s">
        <v>124</v>
      </c>
      <c r="B1" s="6" t="s">
        <v>11</v>
      </c>
      <c r="C1" s="6" t="s">
        <v>12</v>
      </c>
    </row>
    <row r="2" spans="1:3" x14ac:dyDescent="0.3">
      <c r="A2" s="8">
        <v>1</v>
      </c>
      <c r="B2" s="5" t="s">
        <v>13</v>
      </c>
      <c r="C2" s="5" t="s">
        <v>14</v>
      </c>
    </row>
    <row r="3" spans="1:3" x14ac:dyDescent="0.3">
      <c r="A3" s="8">
        <v>2</v>
      </c>
      <c r="B3" s="5" t="s">
        <v>13</v>
      </c>
      <c r="C3" s="5" t="s">
        <v>14</v>
      </c>
    </row>
    <row r="4" spans="1:3" x14ac:dyDescent="0.3">
      <c r="A4" s="8">
        <v>3</v>
      </c>
      <c r="B4" s="5" t="s">
        <v>13</v>
      </c>
      <c r="C4" s="5" t="s">
        <v>14</v>
      </c>
    </row>
    <row r="5" spans="1:3" x14ac:dyDescent="0.3">
      <c r="A5" s="8">
        <v>4</v>
      </c>
      <c r="B5" s="5" t="s">
        <v>13</v>
      </c>
      <c r="C5" s="5" t="s">
        <v>15</v>
      </c>
    </row>
    <row r="6" spans="1:3" x14ac:dyDescent="0.3">
      <c r="A6" s="8">
        <v>5</v>
      </c>
      <c r="B6" s="5" t="s">
        <v>13</v>
      </c>
      <c r="C6" s="5" t="s">
        <v>15</v>
      </c>
    </row>
    <row r="7" spans="1:3" x14ac:dyDescent="0.3">
      <c r="A7" s="8">
        <v>6</v>
      </c>
      <c r="B7" s="5" t="s">
        <v>13</v>
      </c>
      <c r="C7" s="5" t="s">
        <v>15</v>
      </c>
    </row>
    <row r="8" spans="1:3" x14ac:dyDescent="0.3">
      <c r="A8" s="8">
        <v>7</v>
      </c>
      <c r="B8" s="5" t="s">
        <v>13</v>
      </c>
      <c r="C8" s="5" t="s">
        <v>15</v>
      </c>
    </row>
    <row r="9" spans="1:3" x14ac:dyDescent="0.3">
      <c r="A9" s="8">
        <v>8</v>
      </c>
      <c r="B9" s="5" t="s">
        <v>13</v>
      </c>
      <c r="C9" s="5" t="s">
        <v>14</v>
      </c>
    </row>
    <row r="10" spans="1:3" x14ac:dyDescent="0.3">
      <c r="A10" s="8">
        <v>9</v>
      </c>
      <c r="B10" s="5" t="s">
        <v>13</v>
      </c>
      <c r="C10" s="5" t="s">
        <v>14</v>
      </c>
    </row>
    <row r="11" spans="1:3" x14ac:dyDescent="0.3">
      <c r="A11" s="8">
        <v>10</v>
      </c>
      <c r="B11" s="5" t="s">
        <v>13</v>
      </c>
      <c r="C11" s="5" t="s">
        <v>14</v>
      </c>
    </row>
    <row r="12" spans="1:3" x14ac:dyDescent="0.3">
      <c r="A12" s="8">
        <v>11</v>
      </c>
      <c r="B12" s="5" t="s">
        <v>13</v>
      </c>
      <c r="C12" s="5" t="s">
        <v>14</v>
      </c>
    </row>
    <row r="13" spans="1:3" x14ac:dyDescent="0.3">
      <c r="A13" s="8">
        <v>12</v>
      </c>
      <c r="B13" s="5" t="s">
        <v>13</v>
      </c>
      <c r="C13" s="5" t="s">
        <v>15</v>
      </c>
    </row>
    <row r="14" spans="1:3" x14ac:dyDescent="0.3">
      <c r="A14" s="8">
        <v>13</v>
      </c>
      <c r="B14" s="5" t="s">
        <v>13</v>
      </c>
      <c r="C14" s="5" t="s">
        <v>14</v>
      </c>
    </row>
    <row r="15" spans="1:3" x14ac:dyDescent="0.3">
      <c r="A15" s="8">
        <v>14</v>
      </c>
      <c r="B15" s="5" t="s">
        <v>13</v>
      </c>
      <c r="C15" s="5" t="s">
        <v>14</v>
      </c>
    </row>
    <row r="16" spans="1:3" x14ac:dyDescent="0.3">
      <c r="A16" s="8">
        <v>15</v>
      </c>
      <c r="B16" s="5" t="s">
        <v>13</v>
      </c>
      <c r="C16" s="5" t="s">
        <v>14</v>
      </c>
    </row>
    <row r="17" spans="1:3" x14ac:dyDescent="0.3">
      <c r="A17" s="8">
        <v>16</v>
      </c>
      <c r="B17" s="5" t="s">
        <v>13</v>
      </c>
      <c r="C17" s="5" t="s">
        <v>14</v>
      </c>
    </row>
    <row r="18" spans="1:3" x14ac:dyDescent="0.3">
      <c r="A18" s="8">
        <v>17</v>
      </c>
      <c r="B18" s="5" t="s">
        <v>13</v>
      </c>
      <c r="C18" s="5" t="s">
        <v>14</v>
      </c>
    </row>
    <row r="19" spans="1:3" x14ac:dyDescent="0.3">
      <c r="A19" s="8">
        <v>18</v>
      </c>
      <c r="B19" s="5" t="s">
        <v>13</v>
      </c>
      <c r="C19" s="5" t="s">
        <v>15</v>
      </c>
    </row>
    <row r="20" spans="1:3" x14ac:dyDescent="0.3">
      <c r="A20" s="8">
        <v>19</v>
      </c>
      <c r="B20" s="5" t="s">
        <v>13</v>
      </c>
      <c r="C20" s="5" t="s">
        <v>15</v>
      </c>
    </row>
    <row r="21" spans="1:3" x14ac:dyDescent="0.3">
      <c r="A21" s="8">
        <v>20</v>
      </c>
      <c r="B21" s="5" t="s">
        <v>13</v>
      </c>
      <c r="C21" s="5" t="s">
        <v>15</v>
      </c>
    </row>
    <row r="22" spans="1:3" x14ac:dyDescent="0.3">
      <c r="A22" s="8">
        <v>21</v>
      </c>
      <c r="B22" s="5" t="s">
        <v>13</v>
      </c>
      <c r="C22" s="5" t="s">
        <v>15</v>
      </c>
    </row>
    <row r="23" spans="1:3" x14ac:dyDescent="0.3">
      <c r="A23" s="8">
        <v>22</v>
      </c>
      <c r="B23" s="5" t="s">
        <v>13</v>
      </c>
      <c r="C23" s="5" t="s">
        <v>15</v>
      </c>
    </row>
    <row r="24" spans="1:3" x14ac:dyDescent="0.3">
      <c r="A24" s="8">
        <v>23</v>
      </c>
      <c r="B24" s="5" t="s">
        <v>13</v>
      </c>
      <c r="C24" s="5" t="s">
        <v>14</v>
      </c>
    </row>
    <row r="25" spans="1:3" x14ac:dyDescent="0.3">
      <c r="A25" s="8">
        <v>24</v>
      </c>
      <c r="B25" s="5" t="s">
        <v>13</v>
      </c>
      <c r="C25" s="5" t="s">
        <v>14</v>
      </c>
    </row>
    <row r="26" spans="1:3" x14ac:dyDescent="0.3">
      <c r="A26" s="8">
        <v>25</v>
      </c>
      <c r="B26" s="5" t="s">
        <v>13</v>
      </c>
      <c r="C26" s="5" t="s">
        <v>14</v>
      </c>
    </row>
    <row r="27" spans="1:3" x14ac:dyDescent="0.3">
      <c r="A27" s="8">
        <v>26</v>
      </c>
      <c r="B27" s="5" t="s">
        <v>13</v>
      </c>
      <c r="C27" s="5" t="s">
        <v>14</v>
      </c>
    </row>
    <row r="28" spans="1:3" x14ac:dyDescent="0.3">
      <c r="A28" s="8">
        <v>27</v>
      </c>
      <c r="B28" s="5" t="s">
        <v>13</v>
      </c>
      <c r="C28" s="5" t="s">
        <v>14</v>
      </c>
    </row>
    <row r="29" spans="1:3" x14ac:dyDescent="0.3">
      <c r="A29" s="8">
        <v>28</v>
      </c>
      <c r="B29" s="5" t="s">
        <v>13</v>
      </c>
      <c r="C29" s="5" t="s">
        <v>14</v>
      </c>
    </row>
    <row r="30" spans="1:3" x14ac:dyDescent="0.3">
      <c r="A30" s="8">
        <v>29</v>
      </c>
      <c r="B30" s="5" t="s">
        <v>13</v>
      </c>
      <c r="C30" s="5" t="s">
        <v>14</v>
      </c>
    </row>
    <row r="31" spans="1:3" x14ac:dyDescent="0.3">
      <c r="A31" s="8">
        <v>30</v>
      </c>
      <c r="B31" s="5" t="s">
        <v>13</v>
      </c>
      <c r="C31" s="5" t="s">
        <v>14</v>
      </c>
    </row>
    <row r="32" spans="1:3" x14ac:dyDescent="0.3">
      <c r="A32" s="8">
        <v>31</v>
      </c>
      <c r="B32" s="5" t="s">
        <v>13</v>
      </c>
      <c r="C32" s="5" t="s">
        <v>14</v>
      </c>
    </row>
    <row r="33" spans="1:3" x14ac:dyDescent="0.3">
      <c r="A33" s="8">
        <v>32</v>
      </c>
      <c r="B33" s="5" t="s">
        <v>13</v>
      </c>
      <c r="C33" s="5" t="s">
        <v>14</v>
      </c>
    </row>
    <row r="34" spans="1:3" x14ac:dyDescent="0.3">
      <c r="A34" s="8">
        <v>33</v>
      </c>
      <c r="B34" s="5" t="s">
        <v>13</v>
      </c>
      <c r="C34" s="5" t="s">
        <v>15</v>
      </c>
    </row>
    <row r="35" spans="1:3" x14ac:dyDescent="0.3">
      <c r="A35" s="8">
        <v>34</v>
      </c>
      <c r="B35" s="5" t="s">
        <v>13</v>
      </c>
      <c r="C35" s="5" t="s">
        <v>15</v>
      </c>
    </row>
    <row r="36" spans="1:3" x14ac:dyDescent="0.3">
      <c r="A36" s="8">
        <v>35</v>
      </c>
      <c r="B36" s="5" t="s">
        <v>13</v>
      </c>
      <c r="C36" s="5" t="s">
        <v>15</v>
      </c>
    </row>
    <row r="37" spans="1:3" x14ac:dyDescent="0.3">
      <c r="A37" s="8">
        <v>36</v>
      </c>
      <c r="B37" s="5" t="s">
        <v>13</v>
      </c>
      <c r="C37" s="5" t="s">
        <v>15</v>
      </c>
    </row>
    <row r="38" spans="1:3" x14ac:dyDescent="0.3">
      <c r="A38" s="8">
        <v>37</v>
      </c>
      <c r="B38" s="5" t="s">
        <v>13</v>
      </c>
      <c r="C38" s="5" t="s">
        <v>15</v>
      </c>
    </row>
    <row r="39" spans="1:3" x14ac:dyDescent="0.3">
      <c r="A39" s="8">
        <v>38</v>
      </c>
      <c r="B39" s="5" t="s">
        <v>13</v>
      </c>
      <c r="C39" s="5" t="s">
        <v>16</v>
      </c>
    </row>
    <row r="40" spans="1:3" x14ac:dyDescent="0.3">
      <c r="A40" s="8">
        <v>39</v>
      </c>
      <c r="B40" s="5" t="s">
        <v>13</v>
      </c>
      <c r="C40" s="5" t="s">
        <v>16</v>
      </c>
    </row>
    <row r="41" spans="1:3" x14ac:dyDescent="0.3">
      <c r="A41" s="8">
        <v>40</v>
      </c>
      <c r="B41" s="5" t="s">
        <v>13</v>
      </c>
      <c r="C41" s="5" t="s">
        <v>14</v>
      </c>
    </row>
    <row r="42" spans="1:3" x14ac:dyDescent="0.3">
      <c r="A42" s="8">
        <v>41</v>
      </c>
      <c r="B42" s="5" t="s">
        <v>13</v>
      </c>
      <c r="C42" s="5" t="s">
        <v>16</v>
      </c>
    </row>
    <row r="43" spans="1:3" x14ac:dyDescent="0.3">
      <c r="A43" s="8">
        <v>42</v>
      </c>
      <c r="B43" s="5" t="s">
        <v>13</v>
      </c>
      <c r="C43" s="5" t="s">
        <v>16</v>
      </c>
    </row>
    <row r="44" spans="1:3" x14ac:dyDescent="0.3">
      <c r="A44" s="8">
        <v>43</v>
      </c>
      <c r="B44" s="5" t="s">
        <v>13</v>
      </c>
      <c r="C44" s="5" t="s">
        <v>16</v>
      </c>
    </row>
    <row r="45" spans="1:3" x14ac:dyDescent="0.3">
      <c r="A45" s="8">
        <v>44</v>
      </c>
      <c r="B45" s="5" t="s">
        <v>13</v>
      </c>
      <c r="C45" s="5" t="s">
        <v>17</v>
      </c>
    </row>
    <row r="46" spans="1:3" x14ac:dyDescent="0.3">
      <c r="A46" s="8">
        <v>45</v>
      </c>
      <c r="B46" s="5" t="s">
        <v>13</v>
      </c>
      <c r="C46" s="5" t="s">
        <v>17</v>
      </c>
    </row>
    <row r="47" spans="1:3" x14ac:dyDescent="0.3">
      <c r="A47" s="8">
        <v>46</v>
      </c>
      <c r="B47" s="5" t="s">
        <v>13</v>
      </c>
      <c r="C47" s="5" t="s">
        <v>17</v>
      </c>
    </row>
    <row r="48" spans="1:3" x14ac:dyDescent="0.3">
      <c r="A48" s="8">
        <v>47</v>
      </c>
      <c r="B48" s="5" t="s">
        <v>13</v>
      </c>
      <c r="C48" s="5" t="s">
        <v>17</v>
      </c>
    </row>
    <row r="49" spans="1:3" x14ac:dyDescent="0.3">
      <c r="A49" s="8">
        <v>48</v>
      </c>
      <c r="B49" s="5" t="s">
        <v>13</v>
      </c>
      <c r="C49" s="5" t="s">
        <v>17</v>
      </c>
    </row>
    <row r="50" spans="1:3" x14ac:dyDescent="0.3">
      <c r="A50" s="8">
        <v>49</v>
      </c>
      <c r="B50" s="5" t="s">
        <v>13</v>
      </c>
      <c r="C50" s="5" t="s">
        <v>16</v>
      </c>
    </row>
    <row r="51" spans="1:3" x14ac:dyDescent="0.3">
      <c r="A51" s="8">
        <v>50</v>
      </c>
      <c r="B51" s="5" t="s">
        <v>13</v>
      </c>
      <c r="C51" s="5" t="s">
        <v>16</v>
      </c>
    </row>
    <row r="52" spans="1:3" x14ac:dyDescent="0.3">
      <c r="A52" s="8">
        <v>51</v>
      </c>
      <c r="B52" s="5" t="s">
        <v>13</v>
      </c>
      <c r="C52" s="5" t="s">
        <v>16</v>
      </c>
    </row>
    <row r="53" spans="1:3" x14ac:dyDescent="0.3">
      <c r="A53" s="8">
        <v>52</v>
      </c>
      <c r="B53" s="5" t="s">
        <v>13</v>
      </c>
      <c r="C53" s="5" t="s">
        <v>16</v>
      </c>
    </row>
    <row r="54" spans="1:3" x14ac:dyDescent="0.3">
      <c r="A54" s="8">
        <v>53</v>
      </c>
      <c r="B54" s="5" t="s">
        <v>13</v>
      </c>
      <c r="C54" s="5" t="s">
        <v>16</v>
      </c>
    </row>
    <row r="55" spans="1:3" x14ac:dyDescent="0.3">
      <c r="A55" s="8">
        <v>54</v>
      </c>
      <c r="B55" s="5" t="s">
        <v>13</v>
      </c>
      <c r="C55" s="5" t="s">
        <v>17</v>
      </c>
    </row>
    <row r="56" spans="1:3" x14ac:dyDescent="0.3">
      <c r="A56" s="8">
        <v>55</v>
      </c>
      <c r="B56" s="5" t="s">
        <v>13</v>
      </c>
      <c r="C56" s="5" t="s">
        <v>17</v>
      </c>
    </row>
    <row r="57" spans="1:3" x14ac:dyDescent="0.3">
      <c r="A57" s="8">
        <v>56</v>
      </c>
      <c r="B57" s="5" t="s">
        <v>13</v>
      </c>
      <c r="C57" s="5" t="s">
        <v>16</v>
      </c>
    </row>
    <row r="58" spans="1:3" x14ac:dyDescent="0.3">
      <c r="A58" s="8">
        <v>57</v>
      </c>
      <c r="B58" s="5" t="s">
        <v>13</v>
      </c>
      <c r="C58" s="5" t="s">
        <v>16</v>
      </c>
    </row>
    <row r="59" spans="1:3" x14ac:dyDescent="0.3">
      <c r="A59" s="8">
        <v>58</v>
      </c>
      <c r="B59" s="5" t="s">
        <v>13</v>
      </c>
      <c r="C59" s="5" t="s">
        <v>16</v>
      </c>
    </row>
    <row r="60" spans="1:3" x14ac:dyDescent="0.3">
      <c r="A60" s="8">
        <v>59</v>
      </c>
      <c r="B60" s="5" t="s">
        <v>13</v>
      </c>
      <c r="C60" s="5" t="s">
        <v>16</v>
      </c>
    </row>
    <row r="61" spans="1:3" x14ac:dyDescent="0.3">
      <c r="A61" s="8">
        <v>60</v>
      </c>
      <c r="B61" s="5" t="s">
        <v>13</v>
      </c>
      <c r="C61" s="5" t="s">
        <v>16</v>
      </c>
    </row>
    <row r="62" spans="1:3" x14ac:dyDescent="0.3">
      <c r="A62" s="8">
        <v>61</v>
      </c>
      <c r="B62" s="5" t="s">
        <v>13</v>
      </c>
      <c r="C62" s="5" t="s">
        <v>17</v>
      </c>
    </row>
    <row r="63" spans="1:3" x14ac:dyDescent="0.3">
      <c r="A63" s="8">
        <v>62</v>
      </c>
      <c r="B63" s="5" t="s">
        <v>13</v>
      </c>
      <c r="C63" s="5" t="s">
        <v>17</v>
      </c>
    </row>
    <row r="64" spans="1:3" x14ac:dyDescent="0.3">
      <c r="A64" s="8">
        <v>63</v>
      </c>
      <c r="B64" s="5" t="s">
        <v>13</v>
      </c>
      <c r="C64" s="5" t="s">
        <v>17</v>
      </c>
    </row>
    <row r="65" spans="1:3" x14ac:dyDescent="0.3">
      <c r="A65" s="8">
        <v>64</v>
      </c>
      <c r="B65" s="5" t="s">
        <v>13</v>
      </c>
      <c r="C65" s="5" t="s">
        <v>17</v>
      </c>
    </row>
    <row r="66" spans="1:3" x14ac:dyDescent="0.3">
      <c r="A66" s="8">
        <v>65</v>
      </c>
      <c r="B66" s="5" t="s">
        <v>13</v>
      </c>
      <c r="C66" s="5" t="s">
        <v>17</v>
      </c>
    </row>
    <row r="67" spans="1:3" x14ac:dyDescent="0.3">
      <c r="A67" s="8">
        <v>66</v>
      </c>
      <c r="B67" s="5" t="s">
        <v>13</v>
      </c>
      <c r="C67" s="5" t="s">
        <v>17</v>
      </c>
    </row>
    <row r="68" spans="1:3" x14ac:dyDescent="0.3">
      <c r="A68" s="8">
        <v>67</v>
      </c>
      <c r="B68" s="5" t="s">
        <v>13</v>
      </c>
      <c r="C68" s="5" t="s">
        <v>17</v>
      </c>
    </row>
    <row r="69" spans="1:3" x14ac:dyDescent="0.3">
      <c r="A69" s="8">
        <v>68</v>
      </c>
      <c r="B69" s="5" t="s">
        <v>13</v>
      </c>
      <c r="C69" s="5" t="s">
        <v>17</v>
      </c>
    </row>
    <row r="70" spans="1:3" x14ac:dyDescent="0.3">
      <c r="A70" s="8">
        <v>69</v>
      </c>
      <c r="B70" s="5" t="s">
        <v>13</v>
      </c>
      <c r="C70" s="5" t="s">
        <v>17</v>
      </c>
    </row>
    <row r="71" spans="1:3" x14ac:dyDescent="0.3">
      <c r="A71" s="8">
        <v>70</v>
      </c>
      <c r="B71" s="5" t="s">
        <v>13</v>
      </c>
      <c r="C71" s="5" t="s">
        <v>17</v>
      </c>
    </row>
    <row r="72" spans="1:3" x14ac:dyDescent="0.3">
      <c r="A72" s="8">
        <v>71</v>
      </c>
      <c r="B72" s="5" t="s">
        <v>13</v>
      </c>
      <c r="C72" s="5" t="s">
        <v>18</v>
      </c>
    </row>
    <row r="73" spans="1:3" x14ac:dyDescent="0.3">
      <c r="A73" s="8">
        <v>72</v>
      </c>
      <c r="B73" s="5" t="s">
        <v>13</v>
      </c>
      <c r="C73" s="5" t="s">
        <v>18</v>
      </c>
    </row>
    <row r="74" spans="1:3" x14ac:dyDescent="0.3">
      <c r="A74" s="8">
        <v>73</v>
      </c>
      <c r="B74" s="5" t="s">
        <v>13</v>
      </c>
      <c r="C74" s="5" t="s">
        <v>18</v>
      </c>
    </row>
    <row r="75" spans="1:3" x14ac:dyDescent="0.3">
      <c r="A75" s="8">
        <v>74</v>
      </c>
      <c r="B75" s="5" t="s">
        <v>13</v>
      </c>
      <c r="C75" s="5" t="s">
        <v>18</v>
      </c>
    </row>
    <row r="76" spans="1:3" x14ac:dyDescent="0.3">
      <c r="A76" s="8">
        <v>75</v>
      </c>
      <c r="B76" s="5" t="s">
        <v>13</v>
      </c>
      <c r="C76" s="5" t="s">
        <v>18</v>
      </c>
    </row>
    <row r="77" spans="1:3" x14ac:dyDescent="0.3">
      <c r="A77" s="8">
        <v>76</v>
      </c>
      <c r="B77" s="5" t="s">
        <v>13</v>
      </c>
      <c r="C77" s="5" t="s">
        <v>18</v>
      </c>
    </row>
    <row r="78" spans="1:3" x14ac:dyDescent="0.3">
      <c r="A78" s="8">
        <v>77</v>
      </c>
      <c r="B78" s="5" t="s">
        <v>13</v>
      </c>
      <c r="C78" s="5" t="s">
        <v>18</v>
      </c>
    </row>
    <row r="79" spans="1:3" x14ac:dyDescent="0.3">
      <c r="A79" s="8">
        <v>78</v>
      </c>
      <c r="B79" s="5" t="s">
        <v>13</v>
      </c>
      <c r="C79" s="5" t="s">
        <v>19</v>
      </c>
    </row>
    <row r="80" spans="1:3" x14ac:dyDescent="0.3">
      <c r="A80" s="8">
        <v>79</v>
      </c>
      <c r="B80" s="5" t="s">
        <v>13</v>
      </c>
      <c r="C80" s="5" t="s">
        <v>18</v>
      </c>
    </row>
    <row r="81" spans="1:3" x14ac:dyDescent="0.3">
      <c r="A81" s="8">
        <v>80</v>
      </c>
      <c r="B81" s="5" t="s">
        <v>13</v>
      </c>
      <c r="C81" s="5" t="s">
        <v>18</v>
      </c>
    </row>
    <row r="82" spans="1:3" x14ac:dyDescent="0.3">
      <c r="A82" s="8">
        <v>81</v>
      </c>
      <c r="B82" s="5" t="s">
        <v>13</v>
      </c>
      <c r="C82" s="5" t="s">
        <v>18</v>
      </c>
    </row>
    <row r="83" spans="1:3" x14ac:dyDescent="0.3">
      <c r="A83" s="8">
        <v>82</v>
      </c>
      <c r="B83" s="5" t="s">
        <v>13</v>
      </c>
      <c r="C83" s="5" t="s">
        <v>18</v>
      </c>
    </row>
    <row r="84" spans="1:3" x14ac:dyDescent="0.3">
      <c r="A84" s="8">
        <v>83</v>
      </c>
      <c r="B84" s="5" t="s">
        <v>13</v>
      </c>
      <c r="C84" s="5" t="s">
        <v>18</v>
      </c>
    </row>
    <row r="85" spans="1:3" x14ac:dyDescent="0.3">
      <c r="A85" s="8">
        <v>84</v>
      </c>
      <c r="B85" s="5" t="s">
        <v>13</v>
      </c>
      <c r="C85" s="5" t="s">
        <v>18</v>
      </c>
    </row>
    <row r="86" spans="1:3" x14ac:dyDescent="0.3">
      <c r="A86" s="8">
        <v>85</v>
      </c>
      <c r="B86" s="5" t="s">
        <v>13</v>
      </c>
      <c r="C86" s="5" t="s">
        <v>18</v>
      </c>
    </row>
    <row r="87" spans="1:3" x14ac:dyDescent="0.3">
      <c r="A87" s="8">
        <v>86</v>
      </c>
      <c r="B87" s="5" t="s">
        <v>13</v>
      </c>
      <c r="C87" s="5" t="s">
        <v>18</v>
      </c>
    </row>
    <row r="88" spans="1:3" x14ac:dyDescent="0.3">
      <c r="A88" s="8">
        <v>87</v>
      </c>
      <c r="B88" s="5" t="s">
        <v>13</v>
      </c>
      <c r="C88" s="5" t="s">
        <v>18</v>
      </c>
    </row>
    <row r="89" spans="1:3" x14ac:dyDescent="0.3">
      <c r="A89" s="8">
        <v>88</v>
      </c>
      <c r="B89" s="5" t="s">
        <v>13</v>
      </c>
      <c r="C89" s="5" t="s">
        <v>19</v>
      </c>
    </row>
    <row r="90" spans="1:3" x14ac:dyDescent="0.3">
      <c r="A90" s="8">
        <v>89</v>
      </c>
      <c r="B90" s="5" t="s">
        <v>13</v>
      </c>
      <c r="C90" s="5" t="s">
        <v>19</v>
      </c>
    </row>
    <row r="91" spans="1:3" x14ac:dyDescent="0.3">
      <c r="A91" s="8">
        <v>90</v>
      </c>
      <c r="B91" s="5" t="s">
        <v>13</v>
      </c>
      <c r="C91" s="5" t="s">
        <v>18</v>
      </c>
    </row>
    <row r="92" spans="1:3" x14ac:dyDescent="0.3">
      <c r="A92" s="8">
        <v>91</v>
      </c>
      <c r="B92" s="5" t="s">
        <v>13</v>
      </c>
      <c r="C92" s="5" t="s">
        <v>18</v>
      </c>
    </row>
    <row r="93" spans="1:3" x14ac:dyDescent="0.3">
      <c r="A93" s="8">
        <v>92</v>
      </c>
      <c r="B93" s="5" t="s">
        <v>13</v>
      </c>
      <c r="C93" s="5" t="s">
        <v>20</v>
      </c>
    </row>
    <row r="94" spans="1:3" x14ac:dyDescent="0.3">
      <c r="A94" s="8">
        <v>93</v>
      </c>
      <c r="B94" s="5" t="s">
        <v>13</v>
      </c>
      <c r="C94" s="5" t="s">
        <v>20</v>
      </c>
    </row>
    <row r="95" spans="1:3" x14ac:dyDescent="0.3">
      <c r="A95" s="8">
        <v>94</v>
      </c>
      <c r="B95" s="5" t="s">
        <v>13</v>
      </c>
      <c r="C95" s="5" t="s">
        <v>19</v>
      </c>
    </row>
    <row r="96" spans="1:3" x14ac:dyDescent="0.3">
      <c r="A96" s="8">
        <v>95</v>
      </c>
      <c r="B96" s="5" t="s">
        <v>13</v>
      </c>
      <c r="C96" s="5" t="s">
        <v>19</v>
      </c>
    </row>
    <row r="97" spans="1:3" x14ac:dyDescent="0.3">
      <c r="A97" s="8">
        <v>96</v>
      </c>
      <c r="B97" s="5" t="s">
        <v>13</v>
      </c>
      <c r="C97" s="5" t="s">
        <v>19</v>
      </c>
    </row>
    <row r="98" spans="1:3" x14ac:dyDescent="0.3">
      <c r="A98" s="8">
        <v>97</v>
      </c>
      <c r="B98" s="5" t="s">
        <v>13</v>
      </c>
      <c r="C98" s="5" t="s">
        <v>19</v>
      </c>
    </row>
    <row r="99" spans="1:3" x14ac:dyDescent="0.3">
      <c r="A99" s="8">
        <v>98</v>
      </c>
      <c r="B99" s="5" t="s">
        <v>13</v>
      </c>
      <c r="C99" s="5" t="s">
        <v>19</v>
      </c>
    </row>
    <row r="100" spans="1:3" x14ac:dyDescent="0.3">
      <c r="A100" s="8">
        <v>99</v>
      </c>
      <c r="B100" s="5" t="s">
        <v>13</v>
      </c>
      <c r="C100" s="5" t="s">
        <v>19</v>
      </c>
    </row>
    <row r="101" spans="1:3" x14ac:dyDescent="0.3">
      <c r="A101" s="8">
        <v>100</v>
      </c>
      <c r="B101" s="5" t="s">
        <v>13</v>
      </c>
      <c r="C101" s="5" t="s">
        <v>20</v>
      </c>
    </row>
    <row r="102" spans="1:3" x14ac:dyDescent="0.3">
      <c r="A102" s="8">
        <v>101</v>
      </c>
      <c r="B102" s="5" t="s">
        <v>13</v>
      </c>
      <c r="C102" s="5" t="s">
        <v>20</v>
      </c>
    </row>
    <row r="103" spans="1:3" x14ac:dyDescent="0.3">
      <c r="A103" s="8">
        <v>102</v>
      </c>
      <c r="B103" s="5" t="s">
        <v>13</v>
      </c>
      <c r="C103" s="5" t="s">
        <v>20</v>
      </c>
    </row>
    <row r="104" spans="1:3" x14ac:dyDescent="0.3">
      <c r="A104" s="8">
        <v>103</v>
      </c>
      <c r="B104" s="5" t="s">
        <v>13</v>
      </c>
      <c r="C104" s="5" t="s">
        <v>20</v>
      </c>
    </row>
    <row r="105" spans="1:3" x14ac:dyDescent="0.3">
      <c r="A105" s="8">
        <v>104</v>
      </c>
      <c r="B105" s="5" t="s">
        <v>13</v>
      </c>
      <c r="C105" s="5" t="s">
        <v>19</v>
      </c>
    </row>
    <row r="106" spans="1:3" x14ac:dyDescent="0.3">
      <c r="A106" s="8">
        <v>105</v>
      </c>
      <c r="B106" s="5" t="s">
        <v>13</v>
      </c>
      <c r="C106" s="5" t="s">
        <v>19</v>
      </c>
    </row>
    <row r="107" spans="1:3" x14ac:dyDescent="0.3">
      <c r="A107" s="8">
        <v>106</v>
      </c>
      <c r="B107" s="5" t="s">
        <v>13</v>
      </c>
      <c r="C107" s="5" t="s">
        <v>19</v>
      </c>
    </row>
    <row r="108" spans="1:3" x14ac:dyDescent="0.3">
      <c r="A108" s="8">
        <v>107</v>
      </c>
      <c r="B108" s="5" t="s">
        <v>13</v>
      </c>
      <c r="C108" s="5" t="s">
        <v>19</v>
      </c>
    </row>
    <row r="109" spans="1:3" x14ac:dyDescent="0.3">
      <c r="A109" s="8">
        <v>108</v>
      </c>
      <c r="B109" s="5" t="s">
        <v>13</v>
      </c>
      <c r="C109" s="5" t="s">
        <v>20</v>
      </c>
    </row>
    <row r="110" spans="1:3" x14ac:dyDescent="0.3">
      <c r="A110" s="8">
        <v>109</v>
      </c>
      <c r="B110" s="5" t="s">
        <v>13</v>
      </c>
      <c r="C110" s="5" t="s">
        <v>20</v>
      </c>
    </row>
    <row r="111" spans="1:3" x14ac:dyDescent="0.3">
      <c r="A111" s="8">
        <v>110</v>
      </c>
      <c r="B111" s="5" t="s">
        <v>13</v>
      </c>
      <c r="C111" s="5" t="s">
        <v>20</v>
      </c>
    </row>
    <row r="112" spans="1:3" x14ac:dyDescent="0.3">
      <c r="A112" s="8">
        <v>111</v>
      </c>
      <c r="B112" s="5" t="s">
        <v>13</v>
      </c>
      <c r="C112" s="5" t="s">
        <v>20</v>
      </c>
    </row>
    <row r="113" spans="1:3" x14ac:dyDescent="0.3">
      <c r="A113" s="8">
        <v>112</v>
      </c>
      <c r="B113" s="5" t="s">
        <v>13</v>
      </c>
      <c r="C113" s="5" t="s">
        <v>19</v>
      </c>
    </row>
    <row r="114" spans="1:3" x14ac:dyDescent="0.3">
      <c r="A114" s="8">
        <v>113</v>
      </c>
      <c r="B114" s="5" t="s">
        <v>13</v>
      </c>
      <c r="C114" s="5" t="s">
        <v>19</v>
      </c>
    </row>
    <row r="115" spans="1:3" x14ac:dyDescent="0.3">
      <c r="A115" s="8">
        <v>114</v>
      </c>
      <c r="B115" s="5" t="s">
        <v>13</v>
      </c>
      <c r="C115" s="5" t="s">
        <v>19</v>
      </c>
    </row>
    <row r="116" spans="1:3" x14ac:dyDescent="0.3">
      <c r="A116" s="8">
        <v>115</v>
      </c>
      <c r="B116" s="5" t="s">
        <v>13</v>
      </c>
      <c r="C116" s="5" t="s">
        <v>19</v>
      </c>
    </row>
    <row r="117" spans="1:3" x14ac:dyDescent="0.3">
      <c r="A117" s="8">
        <v>116</v>
      </c>
      <c r="B117" s="5" t="s">
        <v>13</v>
      </c>
      <c r="C117" s="5" t="s">
        <v>19</v>
      </c>
    </row>
    <row r="118" spans="1:3" x14ac:dyDescent="0.3">
      <c r="A118" s="8">
        <v>117</v>
      </c>
      <c r="B118" s="5" t="s">
        <v>13</v>
      </c>
      <c r="C118" s="5" t="s">
        <v>19</v>
      </c>
    </row>
    <row r="119" spans="1:3" x14ac:dyDescent="0.3">
      <c r="A119" s="8">
        <v>118</v>
      </c>
      <c r="B119" s="5" t="s">
        <v>13</v>
      </c>
      <c r="C119" s="5" t="s">
        <v>19</v>
      </c>
    </row>
    <row r="120" spans="1:3" x14ac:dyDescent="0.3">
      <c r="A120" s="8">
        <v>119</v>
      </c>
      <c r="B120" s="5" t="s">
        <v>13</v>
      </c>
      <c r="C120" s="5" t="s">
        <v>21</v>
      </c>
    </row>
    <row r="121" spans="1:3" x14ac:dyDescent="0.3">
      <c r="A121" s="8">
        <v>120</v>
      </c>
      <c r="B121" s="5" t="s">
        <v>13</v>
      </c>
      <c r="C121" s="5" t="s">
        <v>21</v>
      </c>
    </row>
    <row r="122" spans="1:3" x14ac:dyDescent="0.3">
      <c r="A122" s="8">
        <v>121</v>
      </c>
      <c r="B122" s="5" t="s">
        <v>13</v>
      </c>
      <c r="C122" s="5" t="s">
        <v>22</v>
      </c>
    </row>
    <row r="123" spans="1:3" x14ac:dyDescent="0.3">
      <c r="A123" s="8">
        <v>122</v>
      </c>
      <c r="B123" s="5" t="s">
        <v>13</v>
      </c>
      <c r="C123" s="5" t="s">
        <v>21</v>
      </c>
    </row>
    <row r="124" spans="1:3" x14ac:dyDescent="0.3">
      <c r="A124" s="8">
        <v>123</v>
      </c>
      <c r="B124" s="5" t="s">
        <v>13</v>
      </c>
      <c r="C124" s="5" t="s">
        <v>22</v>
      </c>
    </row>
    <row r="125" spans="1:3" x14ac:dyDescent="0.3">
      <c r="A125" s="8">
        <v>124</v>
      </c>
      <c r="B125" s="5" t="s">
        <v>13</v>
      </c>
      <c r="C125" s="5" t="s">
        <v>22</v>
      </c>
    </row>
    <row r="126" spans="1:3" x14ac:dyDescent="0.3">
      <c r="A126" s="8">
        <v>125</v>
      </c>
      <c r="B126" s="5" t="s">
        <v>13</v>
      </c>
      <c r="C126" s="5" t="s">
        <v>21</v>
      </c>
    </row>
    <row r="127" spans="1:3" x14ac:dyDescent="0.3">
      <c r="A127" s="8">
        <v>126</v>
      </c>
      <c r="B127" s="5" t="s">
        <v>13</v>
      </c>
      <c r="C127" s="5" t="s">
        <v>21</v>
      </c>
    </row>
    <row r="128" spans="1:3" x14ac:dyDescent="0.3">
      <c r="A128" s="8">
        <v>127</v>
      </c>
      <c r="B128" s="5" t="s">
        <v>13</v>
      </c>
      <c r="C128" s="5" t="s">
        <v>21</v>
      </c>
    </row>
    <row r="129" spans="1:3" x14ac:dyDescent="0.3">
      <c r="A129" s="8">
        <v>128</v>
      </c>
      <c r="B129" s="5" t="s">
        <v>13</v>
      </c>
      <c r="C129" s="5" t="s">
        <v>22</v>
      </c>
    </row>
    <row r="130" spans="1:3" x14ac:dyDescent="0.3">
      <c r="A130" s="8">
        <v>129</v>
      </c>
      <c r="B130" s="5" t="s">
        <v>13</v>
      </c>
      <c r="C130" s="5" t="s">
        <v>22</v>
      </c>
    </row>
    <row r="131" spans="1:3" x14ac:dyDescent="0.3">
      <c r="A131" s="8">
        <v>130</v>
      </c>
      <c r="B131" s="5" t="s">
        <v>13</v>
      </c>
      <c r="C131" s="5" t="s">
        <v>22</v>
      </c>
    </row>
    <row r="132" spans="1:3" x14ac:dyDescent="0.3">
      <c r="A132" s="8">
        <v>131</v>
      </c>
      <c r="B132" s="5" t="s">
        <v>13</v>
      </c>
      <c r="C132" s="5" t="s">
        <v>21</v>
      </c>
    </row>
    <row r="133" spans="1:3" x14ac:dyDescent="0.3">
      <c r="A133" s="8">
        <v>132</v>
      </c>
      <c r="B133" s="5" t="s">
        <v>13</v>
      </c>
      <c r="C133" s="5" t="s">
        <v>21</v>
      </c>
    </row>
    <row r="134" spans="1:3" x14ac:dyDescent="0.3">
      <c r="A134" s="8">
        <v>133</v>
      </c>
      <c r="B134" s="5" t="s">
        <v>13</v>
      </c>
      <c r="C134" s="5" t="s">
        <v>21</v>
      </c>
    </row>
    <row r="135" spans="1:3" x14ac:dyDescent="0.3">
      <c r="A135" s="8">
        <v>134</v>
      </c>
      <c r="B135" s="5" t="s">
        <v>13</v>
      </c>
      <c r="C135" s="5" t="s">
        <v>21</v>
      </c>
    </row>
    <row r="136" spans="1:3" x14ac:dyDescent="0.3">
      <c r="A136" s="8">
        <v>135</v>
      </c>
      <c r="B136" s="5" t="s">
        <v>13</v>
      </c>
      <c r="C136" s="5" t="s">
        <v>22</v>
      </c>
    </row>
    <row r="137" spans="1:3" x14ac:dyDescent="0.3">
      <c r="A137" s="8">
        <v>136</v>
      </c>
      <c r="B137" s="5" t="s">
        <v>13</v>
      </c>
      <c r="C137" s="5" t="s">
        <v>22</v>
      </c>
    </row>
    <row r="138" spans="1:3" x14ac:dyDescent="0.3">
      <c r="A138" s="8">
        <v>137</v>
      </c>
      <c r="B138" s="5" t="s">
        <v>13</v>
      </c>
      <c r="C138" s="5" t="s">
        <v>22</v>
      </c>
    </row>
    <row r="139" spans="1:3" x14ac:dyDescent="0.3">
      <c r="A139" s="8">
        <v>138</v>
      </c>
      <c r="B139" s="5" t="s">
        <v>13</v>
      </c>
      <c r="C139" s="5" t="s">
        <v>22</v>
      </c>
    </row>
    <row r="140" spans="1:3" x14ac:dyDescent="0.3">
      <c r="A140" s="8">
        <v>139</v>
      </c>
      <c r="B140" s="5" t="s">
        <v>13</v>
      </c>
      <c r="C140" s="5" t="s">
        <v>21</v>
      </c>
    </row>
    <row r="141" spans="1:3" x14ac:dyDescent="0.3">
      <c r="A141" s="8">
        <v>140</v>
      </c>
      <c r="B141" s="5" t="s">
        <v>13</v>
      </c>
      <c r="C141" s="5" t="s">
        <v>21</v>
      </c>
    </row>
    <row r="142" spans="1:3" x14ac:dyDescent="0.3">
      <c r="A142" s="8">
        <v>141</v>
      </c>
      <c r="B142" s="5" t="s">
        <v>13</v>
      </c>
      <c r="C142" s="5" t="s">
        <v>23</v>
      </c>
    </row>
    <row r="143" spans="1:3" x14ac:dyDescent="0.3">
      <c r="A143" s="8">
        <v>142</v>
      </c>
      <c r="B143" s="5" t="s">
        <v>13</v>
      </c>
      <c r="C143" s="5" t="s">
        <v>23</v>
      </c>
    </row>
    <row r="144" spans="1:3" x14ac:dyDescent="0.3">
      <c r="A144" s="8">
        <v>143</v>
      </c>
      <c r="B144" s="5" t="s">
        <v>13</v>
      </c>
      <c r="C144" s="5" t="s">
        <v>23</v>
      </c>
    </row>
    <row r="145" spans="1:3" x14ac:dyDescent="0.3">
      <c r="A145" s="8">
        <v>144</v>
      </c>
      <c r="B145" s="5" t="s">
        <v>13</v>
      </c>
      <c r="C145" s="5" t="s">
        <v>23</v>
      </c>
    </row>
    <row r="146" spans="1:3" x14ac:dyDescent="0.3">
      <c r="A146" s="8">
        <v>145</v>
      </c>
      <c r="B146" s="5" t="s">
        <v>13</v>
      </c>
      <c r="C146" s="5" t="s">
        <v>22</v>
      </c>
    </row>
    <row r="147" spans="1:3" x14ac:dyDescent="0.3">
      <c r="A147" s="8">
        <v>146</v>
      </c>
      <c r="B147" s="5" t="s">
        <v>13</v>
      </c>
      <c r="C147" s="5" t="s">
        <v>22</v>
      </c>
    </row>
    <row r="148" spans="1:3" x14ac:dyDescent="0.3">
      <c r="A148" s="8">
        <v>147</v>
      </c>
      <c r="B148" s="5" t="s">
        <v>13</v>
      </c>
      <c r="C148" s="5" t="s">
        <v>24</v>
      </c>
    </row>
    <row r="149" spans="1:3" x14ac:dyDescent="0.3">
      <c r="A149" s="8">
        <v>148</v>
      </c>
      <c r="B149" s="5" t="s">
        <v>13</v>
      </c>
      <c r="C149" s="5" t="s">
        <v>22</v>
      </c>
    </row>
    <row r="150" spans="1:3" x14ac:dyDescent="0.3">
      <c r="A150" s="8">
        <v>149</v>
      </c>
      <c r="B150" s="5" t="s">
        <v>13</v>
      </c>
      <c r="C150" s="5" t="s">
        <v>23</v>
      </c>
    </row>
    <row r="151" spans="1:3" x14ac:dyDescent="0.3">
      <c r="A151" s="8">
        <v>150</v>
      </c>
      <c r="B151" s="5" t="s">
        <v>13</v>
      </c>
      <c r="C151" s="5" t="s">
        <v>23</v>
      </c>
    </row>
    <row r="152" spans="1:3" x14ac:dyDescent="0.3">
      <c r="A152" s="8">
        <v>151</v>
      </c>
      <c r="B152" s="5" t="s">
        <v>13</v>
      </c>
      <c r="C152" s="5" t="s">
        <v>23</v>
      </c>
    </row>
    <row r="153" spans="1:3" x14ac:dyDescent="0.3">
      <c r="A153" s="8">
        <v>152</v>
      </c>
      <c r="B153" s="5" t="s">
        <v>13</v>
      </c>
      <c r="C153" s="5" t="s">
        <v>23</v>
      </c>
    </row>
    <row r="154" spans="1:3" x14ac:dyDescent="0.3">
      <c r="A154" s="8">
        <v>153</v>
      </c>
      <c r="B154" s="5" t="s">
        <v>13</v>
      </c>
      <c r="C154" s="5" t="s">
        <v>23</v>
      </c>
    </row>
    <row r="155" spans="1:3" x14ac:dyDescent="0.3">
      <c r="A155" s="8">
        <v>154</v>
      </c>
      <c r="B155" s="5" t="s">
        <v>13</v>
      </c>
      <c r="C155" s="5" t="s">
        <v>23</v>
      </c>
    </row>
    <row r="156" spans="1:3" x14ac:dyDescent="0.3">
      <c r="A156" s="8">
        <v>155</v>
      </c>
      <c r="B156" s="5" t="s">
        <v>13</v>
      </c>
      <c r="C156" s="5" t="s">
        <v>23</v>
      </c>
    </row>
    <row r="157" spans="1:3" x14ac:dyDescent="0.3">
      <c r="A157" s="8">
        <v>156</v>
      </c>
      <c r="B157" s="5" t="s">
        <v>13</v>
      </c>
      <c r="C157" s="5" t="s">
        <v>23</v>
      </c>
    </row>
    <row r="158" spans="1:3" x14ac:dyDescent="0.3">
      <c r="A158" s="8">
        <v>157</v>
      </c>
      <c r="B158" s="5" t="s">
        <v>13</v>
      </c>
      <c r="C158" s="5" t="s">
        <v>23</v>
      </c>
    </row>
    <row r="159" spans="1:3" x14ac:dyDescent="0.3">
      <c r="A159" s="8">
        <v>158</v>
      </c>
      <c r="B159" s="5" t="s">
        <v>13</v>
      </c>
      <c r="C159" s="5" t="s">
        <v>23</v>
      </c>
    </row>
    <row r="160" spans="1:3" x14ac:dyDescent="0.3">
      <c r="A160" s="8">
        <v>159</v>
      </c>
      <c r="B160" s="5" t="s">
        <v>13</v>
      </c>
      <c r="C160" s="5" t="s">
        <v>23</v>
      </c>
    </row>
    <row r="161" spans="1:3" x14ac:dyDescent="0.3">
      <c r="A161" s="8">
        <v>160</v>
      </c>
      <c r="B161" s="5" t="s">
        <v>13</v>
      </c>
      <c r="C161" s="5" t="s">
        <v>23</v>
      </c>
    </row>
    <row r="162" spans="1:3" x14ac:dyDescent="0.3">
      <c r="A162" s="8">
        <v>161</v>
      </c>
      <c r="B162" s="5" t="s">
        <v>13</v>
      </c>
      <c r="C162" s="5" t="s">
        <v>23</v>
      </c>
    </row>
    <row r="163" spans="1:3" x14ac:dyDescent="0.3">
      <c r="A163" s="8">
        <v>162</v>
      </c>
      <c r="B163" s="5" t="s">
        <v>13</v>
      </c>
      <c r="C163" s="5" t="s">
        <v>23</v>
      </c>
    </row>
    <row r="164" spans="1:3" x14ac:dyDescent="0.3">
      <c r="A164" s="8">
        <v>163</v>
      </c>
      <c r="B164" s="5" t="s">
        <v>13</v>
      </c>
      <c r="C164" s="5" t="s">
        <v>23</v>
      </c>
    </row>
    <row r="165" spans="1:3" x14ac:dyDescent="0.3">
      <c r="A165" s="8">
        <v>164</v>
      </c>
      <c r="B165" s="5" t="s">
        <v>13</v>
      </c>
      <c r="C165" s="5" t="s">
        <v>23</v>
      </c>
    </row>
    <row r="166" spans="1:3" x14ac:dyDescent="0.3">
      <c r="A166" s="8">
        <v>165</v>
      </c>
      <c r="B166" s="5" t="s">
        <v>13</v>
      </c>
      <c r="C166" s="5" t="s">
        <v>23</v>
      </c>
    </row>
    <row r="167" spans="1:3" x14ac:dyDescent="0.3">
      <c r="A167" s="8">
        <v>166</v>
      </c>
      <c r="B167" s="5" t="s">
        <v>13</v>
      </c>
      <c r="C167" s="5" t="s">
        <v>23</v>
      </c>
    </row>
    <row r="168" spans="1:3" x14ac:dyDescent="0.3">
      <c r="A168" s="8">
        <v>167</v>
      </c>
      <c r="B168" s="5" t="s">
        <v>13</v>
      </c>
      <c r="C168" s="5" t="s">
        <v>23</v>
      </c>
    </row>
    <row r="169" spans="1:3" x14ac:dyDescent="0.3">
      <c r="A169" s="8">
        <v>168</v>
      </c>
      <c r="B169" s="5" t="s">
        <v>13</v>
      </c>
      <c r="C169" s="5" t="s">
        <v>23</v>
      </c>
    </row>
    <row r="170" spans="1:3" x14ac:dyDescent="0.3">
      <c r="A170" s="8">
        <v>169</v>
      </c>
      <c r="B170" s="5" t="s">
        <v>13</v>
      </c>
      <c r="C170" s="5" t="s">
        <v>23</v>
      </c>
    </row>
    <row r="171" spans="1:3" x14ac:dyDescent="0.3">
      <c r="A171" s="8">
        <v>170</v>
      </c>
      <c r="B171" s="5" t="s">
        <v>13</v>
      </c>
      <c r="C171" s="5" t="s">
        <v>23</v>
      </c>
    </row>
    <row r="172" spans="1:3" x14ac:dyDescent="0.3">
      <c r="A172" s="8">
        <v>171</v>
      </c>
      <c r="B172" s="5" t="s">
        <v>13</v>
      </c>
      <c r="C172" s="5" t="s">
        <v>23</v>
      </c>
    </row>
    <row r="173" spans="1:3" x14ac:dyDescent="0.3">
      <c r="A173" s="8">
        <v>172</v>
      </c>
      <c r="B173" s="5" t="s">
        <v>13</v>
      </c>
      <c r="C173" s="5" t="s">
        <v>23</v>
      </c>
    </row>
    <row r="174" spans="1:3" x14ac:dyDescent="0.3">
      <c r="A174" s="8">
        <v>173</v>
      </c>
      <c r="B174" s="5" t="s">
        <v>13</v>
      </c>
      <c r="C174" s="5" t="s">
        <v>23</v>
      </c>
    </row>
    <row r="175" spans="1:3" x14ac:dyDescent="0.3">
      <c r="A175" s="8">
        <v>174</v>
      </c>
      <c r="B175" s="5" t="s">
        <v>13</v>
      </c>
      <c r="C175" s="5" t="s">
        <v>23</v>
      </c>
    </row>
    <row r="176" spans="1:3" x14ac:dyDescent="0.3">
      <c r="A176" s="8">
        <v>175</v>
      </c>
      <c r="B176" s="5" t="s">
        <v>13</v>
      </c>
      <c r="C176" s="5" t="s">
        <v>23</v>
      </c>
    </row>
    <row r="177" spans="1:3" x14ac:dyDescent="0.3">
      <c r="A177" s="8">
        <v>176</v>
      </c>
      <c r="B177" s="5" t="s">
        <v>13</v>
      </c>
      <c r="C177" s="5" t="s">
        <v>23</v>
      </c>
    </row>
    <row r="178" spans="1:3" x14ac:dyDescent="0.3">
      <c r="A178" s="8">
        <v>177</v>
      </c>
      <c r="B178" s="5" t="s">
        <v>13</v>
      </c>
      <c r="C178" s="5" t="s">
        <v>23</v>
      </c>
    </row>
    <row r="179" spans="1:3" x14ac:dyDescent="0.3">
      <c r="A179" s="8">
        <v>178</v>
      </c>
      <c r="B179" s="5" t="s">
        <v>13</v>
      </c>
      <c r="C179" s="5" t="s">
        <v>23</v>
      </c>
    </row>
    <row r="180" spans="1:3" x14ac:dyDescent="0.3">
      <c r="A180" s="8">
        <v>179</v>
      </c>
      <c r="B180" s="5" t="s">
        <v>13</v>
      </c>
      <c r="C180" s="5" t="s">
        <v>23</v>
      </c>
    </row>
    <row r="181" spans="1:3" x14ac:dyDescent="0.3">
      <c r="A181" s="8">
        <v>180</v>
      </c>
      <c r="B181" s="5" t="s">
        <v>13</v>
      </c>
      <c r="C181" s="5" t="s">
        <v>25</v>
      </c>
    </row>
    <row r="182" spans="1:3" x14ac:dyDescent="0.3">
      <c r="A182" s="8">
        <v>181</v>
      </c>
      <c r="B182" s="5" t="s">
        <v>13</v>
      </c>
      <c r="C182" s="5" t="s">
        <v>25</v>
      </c>
    </row>
    <row r="183" spans="1:3" x14ac:dyDescent="0.3">
      <c r="A183" s="8">
        <v>182</v>
      </c>
      <c r="B183" s="5" t="s">
        <v>13</v>
      </c>
      <c r="C183" s="5" t="s">
        <v>25</v>
      </c>
    </row>
    <row r="184" spans="1:3" x14ac:dyDescent="0.3">
      <c r="A184" s="8">
        <v>183</v>
      </c>
      <c r="B184" s="5" t="s">
        <v>13</v>
      </c>
      <c r="C184" s="5" t="s">
        <v>25</v>
      </c>
    </row>
    <row r="185" spans="1:3" x14ac:dyDescent="0.3">
      <c r="A185" s="8">
        <v>184</v>
      </c>
      <c r="B185" s="5" t="s">
        <v>13</v>
      </c>
      <c r="C185" s="5" t="s">
        <v>25</v>
      </c>
    </row>
    <row r="186" spans="1:3" x14ac:dyDescent="0.3">
      <c r="A186" s="8">
        <v>185</v>
      </c>
      <c r="B186" s="5" t="s">
        <v>13</v>
      </c>
      <c r="C186" s="5" t="s">
        <v>25</v>
      </c>
    </row>
    <row r="187" spans="1:3" x14ac:dyDescent="0.3">
      <c r="A187" s="8">
        <v>186</v>
      </c>
      <c r="B187" s="5" t="s">
        <v>13</v>
      </c>
      <c r="C187" s="5" t="s">
        <v>25</v>
      </c>
    </row>
    <row r="188" spans="1:3" x14ac:dyDescent="0.3">
      <c r="A188" s="8">
        <v>187</v>
      </c>
      <c r="B188" s="5" t="s">
        <v>13</v>
      </c>
      <c r="C188" s="5" t="s">
        <v>25</v>
      </c>
    </row>
    <row r="189" spans="1:3" x14ac:dyDescent="0.3">
      <c r="A189" s="8">
        <v>188</v>
      </c>
      <c r="B189" s="5" t="s">
        <v>13</v>
      </c>
      <c r="C189" s="5" t="s">
        <v>25</v>
      </c>
    </row>
    <row r="190" spans="1:3" x14ac:dyDescent="0.3">
      <c r="A190" s="8">
        <v>189</v>
      </c>
      <c r="B190" s="5" t="s">
        <v>13</v>
      </c>
      <c r="C190" s="5" t="s">
        <v>25</v>
      </c>
    </row>
    <row r="191" spans="1:3" x14ac:dyDescent="0.3">
      <c r="A191" s="8">
        <v>190</v>
      </c>
      <c r="B191" s="5" t="s">
        <v>13</v>
      </c>
      <c r="C191" s="5" t="s">
        <v>25</v>
      </c>
    </row>
    <row r="192" spans="1:3" x14ac:dyDescent="0.3">
      <c r="A192" s="8">
        <v>191</v>
      </c>
      <c r="B192" s="5" t="s">
        <v>13</v>
      </c>
      <c r="C192" s="5" t="s">
        <v>25</v>
      </c>
    </row>
    <row r="193" spans="1:3" x14ac:dyDescent="0.3">
      <c r="A193" s="8">
        <v>192</v>
      </c>
      <c r="B193" s="5" t="s">
        <v>13</v>
      </c>
      <c r="C193" s="5" t="s">
        <v>25</v>
      </c>
    </row>
    <row r="194" spans="1:3" x14ac:dyDescent="0.3">
      <c r="A194" s="8">
        <v>193</v>
      </c>
      <c r="B194" s="5" t="s">
        <v>13</v>
      </c>
      <c r="C194" s="5" t="s">
        <v>25</v>
      </c>
    </row>
    <row r="195" spans="1:3" x14ac:dyDescent="0.3">
      <c r="A195" s="8">
        <v>194</v>
      </c>
      <c r="B195" s="5" t="s">
        <v>13</v>
      </c>
      <c r="C195" s="5" t="s">
        <v>25</v>
      </c>
    </row>
    <row r="196" spans="1:3" x14ac:dyDescent="0.3">
      <c r="A196" s="8">
        <v>195</v>
      </c>
      <c r="B196" s="5" t="s">
        <v>13</v>
      </c>
      <c r="C196" s="5" t="s">
        <v>25</v>
      </c>
    </row>
    <row r="197" spans="1:3" x14ac:dyDescent="0.3">
      <c r="A197" s="8">
        <v>196</v>
      </c>
      <c r="B197" s="5" t="s">
        <v>13</v>
      </c>
      <c r="C197" s="5" t="s">
        <v>25</v>
      </c>
    </row>
    <row r="198" spans="1:3" x14ac:dyDescent="0.3">
      <c r="A198" s="8">
        <v>197</v>
      </c>
      <c r="B198" s="5" t="s">
        <v>13</v>
      </c>
      <c r="C198" s="5" t="s">
        <v>25</v>
      </c>
    </row>
    <row r="199" spans="1:3" x14ac:dyDescent="0.3">
      <c r="A199" s="8">
        <v>198</v>
      </c>
      <c r="B199" s="5" t="s">
        <v>13</v>
      </c>
      <c r="C199" s="5" t="s">
        <v>25</v>
      </c>
    </row>
    <row r="200" spans="1:3" x14ac:dyDescent="0.3">
      <c r="A200" s="8">
        <v>199</v>
      </c>
      <c r="B200" s="5" t="s">
        <v>13</v>
      </c>
      <c r="C200" s="5" t="s">
        <v>25</v>
      </c>
    </row>
    <row r="201" spans="1:3" x14ac:dyDescent="0.3">
      <c r="A201" s="8">
        <v>200</v>
      </c>
      <c r="B201" s="5" t="s">
        <v>13</v>
      </c>
      <c r="C201" s="5" t="s">
        <v>26</v>
      </c>
    </row>
    <row r="202" spans="1:3" x14ac:dyDescent="0.3">
      <c r="A202" s="8">
        <v>201</v>
      </c>
      <c r="B202" s="5" t="s">
        <v>13</v>
      </c>
      <c r="C202" s="5" t="s">
        <v>26</v>
      </c>
    </row>
    <row r="203" spans="1:3" x14ac:dyDescent="0.3">
      <c r="A203" s="8">
        <v>202</v>
      </c>
      <c r="B203" s="5" t="s">
        <v>13</v>
      </c>
      <c r="C203" s="5" t="s">
        <v>26</v>
      </c>
    </row>
    <row r="204" spans="1:3" x14ac:dyDescent="0.3">
      <c r="A204" s="8">
        <v>203</v>
      </c>
      <c r="B204" s="5" t="s">
        <v>13</v>
      </c>
      <c r="C204" s="5" t="s">
        <v>26</v>
      </c>
    </row>
    <row r="205" spans="1:3" x14ac:dyDescent="0.3">
      <c r="A205" s="8">
        <v>204</v>
      </c>
      <c r="B205" s="5" t="s">
        <v>13</v>
      </c>
      <c r="C205" s="5" t="s">
        <v>25</v>
      </c>
    </row>
    <row r="206" spans="1:3" x14ac:dyDescent="0.3">
      <c r="A206" s="8">
        <v>205</v>
      </c>
      <c r="B206" s="5" t="s">
        <v>13</v>
      </c>
      <c r="C206" s="5" t="s">
        <v>27</v>
      </c>
    </row>
    <row r="207" spans="1:3" x14ac:dyDescent="0.3">
      <c r="A207" s="8">
        <v>206</v>
      </c>
      <c r="B207" s="5" t="s">
        <v>13</v>
      </c>
      <c r="C207" s="5" t="s">
        <v>26</v>
      </c>
    </row>
    <row r="208" spans="1:3" x14ac:dyDescent="0.3">
      <c r="A208" s="8">
        <v>207</v>
      </c>
      <c r="B208" s="5" t="s">
        <v>13</v>
      </c>
      <c r="C208" s="5" t="s">
        <v>27</v>
      </c>
    </row>
    <row r="209" spans="1:3" x14ac:dyDescent="0.3">
      <c r="A209" s="8">
        <v>208</v>
      </c>
      <c r="B209" s="5" t="s">
        <v>13</v>
      </c>
      <c r="C209" s="5" t="s">
        <v>27</v>
      </c>
    </row>
    <row r="210" spans="1:3" x14ac:dyDescent="0.3">
      <c r="A210" s="8">
        <v>209</v>
      </c>
      <c r="B210" s="5" t="s">
        <v>13</v>
      </c>
      <c r="C210" s="5" t="s">
        <v>26</v>
      </c>
    </row>
    <row r="211" spans="1:3" x14ac:dyDescent="0.3">
      <c r="A211" s="8">
        <v>210</v>
      </c>
      <c r="B211" s="5" t="s">
        <v>13</v>
      </c>
      <c r="C211" s="5" t="s">
        <v>26</v>
      </c>
    </row>
    <row r="212" spans="1:3" x14ac:dyDescent="0.3">
      <c r="A212" s="8">
        <v>211</v>
      </c>
      <c r="B212" s="5" t="s">
        <v>13</v>
      </c>
      <c r="C212" s="5" t="s">
        <v>26</v>
      </c>
    </row>
    <row r="213" spans="1:3" x14ac:dyDescent="0.3">
      <c r="A213" s="8">
        <v>212</v>
      </c>
      <c r="B213" s="5" t="s">
        <v>13</v>
      </c>
      <c r="C213" s="5" t="s">
        <v>26</v>
      </c>
    </row>
    <row r="214" spans="1:3" x14ac:dyDescent="0.3">
      <c r="A214" s="8">
        <v>213</v>
      </c>
      <c r="B214" s="5" t="s">
        <v>13</v>
      </c>
      <c r="C214" s="5" t="s">
        <v>26</v>
      </c>
    </row>
    <row r="215" spans="1:3" x14ac:dyDescent="0.3">
      <c r="A215" s="8">
        <v>214</v>
      </c>
      <c r="B215" s="5" t="s">
        <v>13</v>
      </c>
      <c r="C215" s="5" t="s">
        <v>25</v>
      </c>
    </row>
    <row r="216" spans="1:3" x14ac:dyDescent="0.3">
      <c r="A216" s="8">
        <v>215</v>
      </c>
      <c r="B216" s="5" t="s">
        <v>13</v>
      </c>
      <c r="C216" s="5" t="s">
        <v>27</v>
      </c>
    </row>
    <row r="217" spans="1:3" x14ac:dyDescent="0.3">
      <c r="A217" s="8">
        <v>216</v>
      </c>
      <c r="B217" s="5" t="s">
        <v>13</v>
      </c>
      <c r="C217" s="5" t="s">
        <v>27</v>
      </c>
    </row>
    <row r="218" spans="1:3" x14ac:dyDescent="0.3">
      <c r="A218" s="8">
        <v>217</v>
      </c>
      <c r="B218" s="5" t="s">
        <v>13</v>
      </c>
      <c r="C218" s="5" t="s">
        <v>27</v>
      </c>
    </row>
    <row r="219" spans="1:3" x14ac:dyDescent="0.3">
      <c r="A219" s="8">
        <v>218</v>
      </c>
      <c r="B219" s="5" t="s">
        <v>13</v>
      </c>
      <c r="C219" s="5" t="s">
        <v>27</v>
      </c>
    </row>
    <row r="220" spans="1:3" x14ac:dyDescent="0.3">
      <c r="A220" s="8">
        <v>219</v>
      </c>
      <c r="B220" s="5" t="s">
        <v>13</v>
      </c>
      <c r="C220" s="5" t="s">
        <v>27</v>
      </c>
    </row>
    <row r="221" spans="1:3" x14ac:dyDescent="0.3">
      <c r="A221" s="8">
        <v>220</v>
      </c>
      <c r="B221" s="5" t="s">
        <v>13</v>
      </c>
      <c r="C221" s="5" t="s">
        <v>26</v>
      </c>
    </row>
    <row r="222" spans="1:3" x14ac:dyDescent="0.3">
      <c r="A222" s="8">
        <v>221</v>
      </c>
      <c r="B222" s="5" t="s">
        <v>13</v>
      </c>
      <c r="C222" s="5" t="s">
        <v>27</v>
      </c>
    </row>
    <row r="223" spans="1:3" x14ac:dyDescent="0.3">
      <c r="A223" s="8">
        <v>222</v>
      </c>
      <c r="B223" s="5" t="s">
        <v>13</v>
      </c>
      <c r="C223" s="5" t="s">
        <v>27</v>
      </c>
    </row>
    <row r="224" spans="1:3" x14ac:dyDescent="0.3">
      <c r="A224" s="8">
        <v>223</v>
      </c>
      <c r="B224" s="5" t="s">
        <v>13</v>
      </c>
      <c r="C224" s="5" t="s">
        <v>27</v>
      </c>
    </row>
    <row r="225" spans="1:3" x14ac:dyDescent="0.3">
      <c r="A225" s="8">
        <v>224</v>
      </c>
      <c r="B225" s="5" t="s">
        <v>13</v>
      </c>
      <c r="C225" s="5" t="s">
        <v>27</v>
      </c>
    </row>
    <row r="226" spans="1:3" x14ac:dyDescent="0.3">
      <c r="A226" s="8">
        <v>225</v>
      </c>
      <c r="B226" s="5" t="s">
        <v>13</v>
      </c>
      <c r="C226" s="5" t="s">
        <v>27</v>
      </c>
    </row>
    <row r="227" spans="1:3" x14ac:dyDescent="0.3">
      <c r="A227" s="8">
        <v>226</v>
      </c>
      <c r="B227" s="5" t="s">
        <v>13</v>
      </c>
      <c r="C227" s="5" t="s">
        <v>27</v>
      </c>
    </row>
    <row r="228" spans="1:3" x14ac:dyDescent="0.3">
      <c r="A228" s="8">
        <v>227</v>
      </c>
      <c r="B228" s="5" t="s">
        <v>13</v>
      </c>
      <c r="C228" s="5" t="s">
        <v>27</v>
      </c>
    </row>
    <row r="229" spans="1:3" x14ac:dyDescent="0.3">
      <c r="A229" s="8">
        <v>228</v>
      </c>
      <c r="B229" s="5" t="s">
        <v>13</v>
      </c>
      <c r="C229" s="5" t="s">
        <v>28</v>
      </c>
    </row>
    <row r="230" spans="1:3" x14ac:dyDescent="0.3">
      <c r="A230" s="8">
        <v>229</v>
      </c>
      <c r="B230" s="5" t="s">
        <v>13</v>
      </c>
      <c r="C230" s="5" t="s">
        <v>28</v>
      </c>
    </row>
    <row r="231" spans="1:3" x14ac:dyDescent="0.3">
      <c r="A231" s="8">
        <v>230</v>
      </c>
      <c r="B231" s="5" t="s">
        <v>13</v>
      </c>
      <c r="C231" s="5" t="s">
        <v>28</v>
      </c>
    </row>
    <row r="232" spans="1:3" x14ac:dyDescent="0.3">
      <c r="A232" s="8">
        <v>231</v>
      </c>
      <c r="B232" s="5" t="s">
        <v>13</v>
      </c>
      <c r="C232" s="5" t="s">
        <v>28</v>
      </c>
    </row>
    <row r="233" spans="1:3" x14ac:dyDescent="0.3">
      <c r="A233" s="8">
        <v>232</v>
      </c>
      <c r="B233" s="5" t="s">
        <v>13</v>
      </c>
      <c r="C233" s="5" t="s">
        <v>28</v>
      </c>
    </row>
    <row r="234" spans="1:3" x14ac:dyDescent="0.3">
      <c r="A234" s="8">
        <v>233</v>
      </c>
      <c r="B234" s="5" t="s">
        <v>13</v>
      </c>
      <c r="C234" s="5" t="s">
        <v>28</v>
      </c>
    </row>
    <row r="235" spans="1:3" x14ac:dyDescent="0.3">
      <c r="A235" s="8">
        <v>234</v>
      </c>
      <c r="B235" s="5" t="s">
        <v>13</v>
      </c>
      <c r="C235" s="5" t="s">
        <v>28</v>
      </c>
    </row>
    <row r="236" spans="1:3" x14ac:dyDescent="0.3">
      <c r="A236" s="8">
        <v>235</v>
      </c>
      <c r="B236" s="5" t="s">
        <v>13</v>
      </c>
      <c r="C236" s="5" t="s">
        <v>28</v>
      </c>
    </row>
    <row r="237" spans="1:3" x14ac:dyDescent="0.3">
      <c r="A237" s="8">
        <v>236</v>
      </c>
      <c r="B237" s="5" t="s">
        <v>13</v>
      </c>
      <c r="C237" s="5" t="s">
        <v>28</v>
      </c>
    </row>
    <row r="238" spans="1:3" x14ac:dyDescent="0.3">
      <c r="A238" s="8">
        <v>237</v>
      </c>
      <c r="B238" s="5" t="s">
        <v>13</v>
      </c>
      <c r="C238" s="5" t="s">
        <v>28</v>
      </c>
    </row>
    <row r="239" spans="1:3" x14ac:dyDescent="0.3">
      <c r="A239" s="8">
        <v>238</v>
      </c>
      <c r="B239" s="5" t="s">
        <v>13</v>
      </c>
      <c r="C239" s="5" t="s">
        <v>28</v>
      </c>
    </row>
    <row r="240" spans="1:3" x14ac:dyDescent="0.3">
      <c r="A240" s="8">
        <v>239</v>
      </c>
      <c r="B240" s="5" t="s">
        <v>13</v>
      </c>
      <c r="C240" s="5" t="s">
        <v>28</v>
      </c>
    </row>
    <row r="241" spans="1:3" x14ac:dyDescent="0.3">
      <c r="A241" s="8">
        <v>240</v>
      </c>
      <c r="B241" s="5" t="s">
        <v>13</v>
      </c>
      <c r="C241" s="5" t="s">
        <v>28</v>
      </c>
    </row>
    <row r="242" spans="1:3" x14ac:dyDescent="0.3">
      <c r="A242" s="8">
        <v>241</v>
      </c>
      <c r="B242" s="5" t="s">
        <v>13</v>
      </c>
      <c r="C242" s="5" t="s">
        <v>28</v>
      </c>
    </row>
    <row r="243" spans="1:3" x14ac:dyDescent="0.3">
      <c r="A243" s="8">
        <v>242</v>
      </c>
      <c r="B243" s="5" t="s">
        <v>13</v>
      </c>
      <c r="C243" s="5" t="s">
        <v>28</v>
      </c>
    </row>
    <row r="244" spans="1:3" x14ac:dyDescent="0.3">
      <c r="A244" s="8">
        <v>243</v>
      </c>
      <c r="B244" s="5" t="s">
        <v>13</v>
      </c>
      <c r="C244" s="5" t="s">
        <v>28</v>
      </c>
    </row>
    <row r="245" spans="1:3" x14ac:dyDescent="0.3">
      <c r="A245" s="8">
        <v>244</v>
      </c>
      <c r="B245" s="5" t="s">
        <v>13</v>
      </c>
      <c r="C245" s="5" t="s">
        <v>28</v>
      </c>
    </row>
    <row r="246" spans="1:3" x14ac:dyDescent="0.3">
      <c r="A246" s="8">
        <v>245</v>
      </c>
      <c r="B246" s="5" t="s">
        <v>13</v>
      </c>
      <c r="C246" s="5" t="s">
        <v>28</v>
      </c>
    </row>
    <row r="247" spans="1:3" x14ac:dyDescent="0.3">
      <c r="A247" s="8">
        <v>246</v>
      </c>
      <c r="B247" s="5" t="s">
        <v>13</v>
      </c>
      <c r="C247" s="5" t="s">
        <v>28</v>
      </c>
    </row>
    <row r="248" spans="1:3" x14ac:dyDescent="0.3">
      <c r="A248" s="8">
        <v>247</v>
      </c>
      <c r="B248" s="5" t="s">
        <v>13</v>
      </c>
      <c r="C248" s="5" t="s">
        <v>28</v>
      </c>
    </row>
    <row r="249" spans="1:3" x14ac:dyDescent="0.3">
      <c r="A249" s="8">
        <v>248</v>
      </c>
      <c r="B249" s="5" t="s">
        <v>13</v>
      </c>
      <c r="C249" s="5" t="s">
        <v>28</v>
      </c>
    </row>
    <row r="250" spans="1:3" x14ac:dyDescent="0.3">
      <c r="A250" s="8">
        <v>249</v>
      </c>
      <c r="B250" s="5" t="s">
        <v>13</v>
      </c>
      <c r="C250" s="5" t="s">
        <v>28</v>
      </c>
    </row>
    <row r="251" spans="1:3" x14ac:dyDescent="0.3">
      <c r="A251" s="8">
        <v>250</v>
      </c>
      <c r="B251" s="5" t="s">
        <v>13</v>
      </c>
      <c r="C251" s="5" t="s">
        <v>28</v>
      </c>
    </row>
    <row r="252" spans="1:3" x14ac:dyDescent="0.3">
      <c r="A252" s="8">
        <v>251</v>
      </c>
      <c r="B252" s="5" t="s">
        <v>13</v>
      </c>
      <c r="C252" s="5" t="s">
        <v>28</v>
      </c>
    </row>
    <row r="253" spans="1:3" x14ac:dyDescent="0.3">
      <c r="A253" s="8">
        <v>252</v>
      </c>
      <c r="B253" s="5" t="s">
        <v>13</v>
      </c>
      <c r="C253" s="5" t="s">
        <v>28</v>
      </c>
    </row>
    <row r="254" spans="1:3" x14ac:dyDescent="0.3">
      <c r="A254" s="8">
        <v>253</v>
      </c>
      <c r="B254" s="5" t="s">
        <v>13</v>
      </c>
      <c r="C254" s="5" t="s">
        <v>28</v>
      </c>
    </row>
    <row r="255" spans="1:3" x14ac:dyDescent="0.3">
      <c r="A255" s="8">
        <v>254</v>
      </c>
      <c r="B255" s="5" t="s">
        <v>13</v>
      </c>
      <c r="C255" s="5" t="s">
        <v>28</v>
      </c>
    </row>
    <row r="256" spans="1:3" x14ac:dyDescent="0.3">
      <c r="A256" s="8">
        <v>255</v>
      </c>
      <c r="B256" s="5" t="s">
        <v>13</v>
      </c>
      <c r="C256" s="5" t="s">
        <v>28</v>
      </c>
    </row>
    <row r="257" spans="1:3" x14ac:dyDescent="0.3">
      <c r="A257" s="8">
        <v>256</v>
      </c>
      <c r="B257" s="5" t="s">
        <v>13</v>
      </c>
      <c r="C257" s="5" t="s">
        <v>28</v>
      </c>
    </row>
    <row r="258" spans="1:3" x14ac:dyDescent="0.3">
      <c r="A258" s="8">
        <v>257</v>
      </c>
      <c r="B258" s="5" t="s">
        <v>13</v>
      </c>
      <c r="C258" s="5" t="s">
        <v>28</v>
      </c>
    </row>
    <row r="259" spans="1:3" x14ac:dyDescent="0.3">
      <c r="A259" s="8">
        <v>258</v>
      </c>
      <c r="B259" s="5" t="s">
        <v>13</v>
      </c>
      <c r="C259" s="5" t="s">
        <v>28</v>
      </c>
    </row>
    <row r="260" spans="1:3" x14ac:dyDescent="0.3">
      <c r="A260" s="8">
        <v>259</v>
      </c>
      <c r="B260" s="5" t="s">
        <v>13</v>
      </c>
      <c r="C260" s="5" t="s">
        <v>28</v>
      </c>
    </row>
    <row r="261" spans="1:3" x14ac:dyDescent="0.3">
      <c r="A261" s="8">
        <v>260</v>
      </c>
      <c r="B261" s="5" t="s">
        <v>13</v>
      </c>
      <c r="C261" s="5" t="s">
        <v>28</v>
      </c>
    </row>
    <row r="262" spans="1:3" x14ac:dyDescent="0.3">
      <c r="A262" s="8">
        <v>261</v>
      </c>
      <c r="B262" s="5" t="s">
        <v>13</v>
      </c>
      <c r="C262" s="5" t="s">
        <v>28</v>
      </c>
    </row>
    <row r="263" spans="1:3" x14ac:dyDescent="0.3">
      <c r="A263" s="8">
        <v>262</v>
      </c>
      <c r="B263" s="5" t="s">
        <v>13</v>
      </c>
      <c r="C263" s="5" t="s">
        <v>29</v>
      </c>
    </row>
    <row r="264" spans="1:3" x14ac:dyDescent="0.3">
      <c r="A264" s="8">
        <v>263</v>
      </c>
      <c r="B264" s="5" t="s">
        <v>13</v>
      </c>
      <c r="C264" s="5" t="s">
        <v>29</v>
      </c>
    </row>
    <row r="265" spans="1:3" x14ac:dyDescent="0.3">
      <c r="A265" s="8">
        <v>264</v>
      </c>
      <c r="B265" s="5" t="s">
        <v>13</v>
      </c>
      <c r="C265" s="5" t="s">
        <v>30</v>
      </c>
    </row>
    <row r="266" spans="1:3" x14ac:dyDescent="0.3">
      <c r="A266" s="8">
        <v>265</v>
      </c>
      <c r="B266" s="5" t="s">
        <v>13</v>
      </c>
      <c r="C266" s="5" t="s">
        <v>30</v>
      </c>
    </row>
    <row r="267" spans="1:3" x14ac:dyDescent="0.3">
      <c r="A267" s="8">
        <v>266</v>
      </c>
      <c r="B267" s="5" t="s">
        <v>13</v>
      </c>
      <c r="C267" s="5" t="s">
        <v>30</v>
      </c>
    </row>
    <row r="268" spans="1:3" x14ac:dyDescent="0.3">
      <c r="A268" s="8">
        <v>267</v>
      </c>
      <c r="B268" s="5" t="s">
        <v>13</v>
      </c>
      <c r="C268" s="5" t="s">
        <v>30</v>
      </c>
    </row>
    <row r="269" spans="1:3" x14ac:dyDescent="0.3">
      <c r="A269" s="8">
        <v>268</v>
      </c>
      <c r="B269" s="5" t="s">
        <v>13</v>
      </c>
      <c r="C269" s="5" t="s">
        <v>30</v>
      </c>
    </row>
    <row r="270" spans="1:3" x14ac:dyDescent="0.3">
      <c r="A270" s="8">
        <v>269</v>
      </c>
      <c r="B270" s="5" t="s">
        <v>13</v>
      </c>
      <c r="C270" s="5" t="s">
        <v>30</v>
      </c>
    </row>
    <row r="271" spans="1:3" x14ac:dyDescent="0.3">
      <c r="A271" s="8">
        <v>270</v>
      </c>
      <c r="B271" s="5" t="s">
        <v>13</v>
      </c>
      <c r="C271" s="5" t="s">
        <v>30</v>
      </c>
    </row>
    <row r="272" spans="1:3" x14ac:dyDescent="0.3">
      <c r="A272" s="8">
        <v>271</v>
      </c>
      <c r="B272" s="5" t="s">
        <v>13</v>
      </c>
      <c r="C272" s="5" t="s">
        <v>30</v>
      </c>
    </row>
    <row r="273" spans="1:3" x14ac:dyDescent="0.3">
      <c r="A273" s="8">
        <v>272</v>
      </c>
      <c r="B273" s="5" t="s">
        <v>13</v>
      </c>
      <c r="C273" s="5" t="s">
        <v>30</v>
      </c>
    </row>
    <row r="274" spans="1:3" x14ac:dyDescent="0.3">
      <c r="A274" s="8">
        <v>273</v>
      </c>
      <c r="B274" s="5" t="s">
        <v>13</v>
      </c>
      <c r="C274" s="5" t="s">
        <v>30</v>
      </c>
    </row>
    <row r="275" spans="1:3" x14ac:dyDescent="0.3">
      <c r="A275" s="8">
        <v>274</v>
      </c>
      <c r="B275" s="5" t="s">
        <v>13</v>
      </c>
      <c r="C275" s="5" t="s">
        <v>30</v>
      </c>
    </row>
    <row r="276" spans="1:3" x14ac:dyDescent="0.3">
      <c r="A276" s="8">
        <v>275</v>
      </c>
      <c r="B276" s="5" t="s">
        <v>13</v>
      </c>
      <c r="C276" s="5" t="s">
        <v>29</v>
      </c>
    </row>
    <row r="277" spans="1:3" x14ac:dyDescent="0.3">
      <c r="A277" s="8">
        <v>276</v>
      </c>
      <c r="B277" s="5" t="s">
        <v>13</v>
      </c>
      <c r="C277" s="5" t="s">
        <v>29</v>
      </c>
    </row>
    <row r="278" spans="1:3" x14ac:dyDescent="0.3">
      <c r="A278" s="8">
        <v>277</v>
      </c>
      <c r="B278" s="5" t="s">
        <v>13</v>
      </c>
      <c r="C278" s="5" t="s">
        <v>29</v>
      </c>
    </row>
    <row r="279" spans="1:3" x14ac:dyDescent="0.3">
      <c r="A279" s="8">
        <v>278</v>
      </c>
      <c r="B279" s="5" t="s">
        <v>13</v>
      </c>
      <c r="C279" s="5" t="s">
        <v>29</v>
      </c>
    </row>
    <row r="280" spans="1:3" x14ac:dyDescent="0.3">
      <c r="A280" s="8">
        <v>279</v>
      </c>
      <c r="B280" s="5" t="s">
        <v>13</v>
      </c>
      <c r="C280" s="5" t="s">
        <v>30</v>
      </c>
    </row>
    <row r="281" spans="1:3" x14ac:dyDescent="0.3">
      <c r="A281" s="8">
        <v>280</v>
      </c>
      <c r="B281" s="5" t="s">
        <v>13</v>
      </c>
      <c r="C281" s="5" t="s">
        <v>30</v>
      </c>
    </row>
    <row r="282" spans="1:3" x14ac:dyDescent="0.3">
      <c r="A282" s="8">
        <v>281</v>
      </c>
      <c r="B282" s="5" t="s">
        <v>13</v>
      </c>
      <c r="C282" s="5" t="s">
        <v>30</v>
      </c>
    </row>
    <row r="283" spans="1:3" x14ac:dyDescent="0.3">
      <c r="A283" s="8">
        <v>282</v>
      </c>
      <c r="B283" s="5" t="s">
        <v>13</v>
      </c>
      <c r="C283" s="5" t="s">
        <v>30</v>
      </c>
    </row>
    <row r="284" spans="1:3" x14ac:dyDescent="0.3">
      <c r="A284" s="8">
        <v>283</v>
      </c>
      <c r="B284" s="5" t="s">
        <v>13</v>
      </c>
      <c r="C284" s="5" t="s">
        <v>30</v>
      </c>
    </row>
    <row r="285" spans="1:3" x14ac:dyDescent="0.3">
      <c r="A285" s="8">
        <v>284</v>
      </c>
      <c r="B285" s="5" t="s">
        <v>13</v>
      </c>
      <c r="C285" s="5" t="s">
        <v>30</v>
      </c>
    </row>
    <row r="286" spans="1:3" x14ac:dyDescent="0.3">
      <c r="A286" s="8">
        <v>285</v>
      </c>
      <c r="B286" s="5" t="s">
        <v>13</v>
      </c>
      <c r="C286" s="5" t="s">
        <v>30</v>
      </c>
    </row>
    <row r="287" spans="1:3" x14ac:dyDescent="0.3">
      <c r="A287" s="8">
        <v>286</v>
      </c>
      <c r="B287" s="5" t="s">
        <v>13</v>
      </c>
      <c r="C287" s="5" t="s">
        <v>29</v>
      </c>
    </row>
    <row r="288" spans="1:3" x14ac:dyDescent="0.3">
      <c r="A288" s="8">
        <v>287</v>
      </c>
      <c r="B288" s="5" t="s">
        <v>13</v>
      </c>
      <c r="C288" s="5" t="s">
        <v>29</v>
      </c>
    </row>
    <row r="289" spans="1:3" x14ac:dyDescent="0.3">
      <c r="A289" s="8">
        <v>288</v>
      </c>
      <c r="B289" s="5" t="s">
        <v>13</v>
      </c>
      <c r="C289" s="5" t="s">
        <v>30</v>
      </c>
    </row>
    <row r="290" spans="1:3" x14ac:dyDescent="0.3">
      <c r="A290" s="8">
        <v>289</v>
      </c>
      <c r="B290" s="5" t="s">
        <v>13</v>
      </c>
      <c r="C290" s="5" t="s">
        <v>30</v>
      </c>
    </row>
    <row r="291" spans="1:3" x14ac:dyDescent="0.3">
      <c r="A291" s="8">
        <v>290</v>
      </c>
      <c r="B291" s="5" t="s">
        <v>13</v>
      </c>
      <c r="C291" s="5" t="s">
        <v>29</v>
      </c>
    </row>
    <row r="292" spans="1:3" x14ac:dyDescent="0.3">
      <c r="A292" s="8">
        <v>291</v>
      </c>
      <c r="B292" s="5" t="s">
        <v>13</v>
      </c>
      <c r="C292" s="5" t="s">
        <v>29</v>
      </c>
    </row>
    <row r="293" spans="1:3" x14ac:dyDescent="0.3">
      <c r="A293" s="8">
        <v>292</v>
      </c>
      <c r="B293" s="5" t="s">
        <v>13</v>
      </c>
      <c r="C293" s="5" t="s">
        <v>29</v>
      </c>
    </row>
    <row r="294" spans="1:3" x14ac:dyDescent="0.3">
      <c r="A294" s="8">
        <v>293</v>
      </c>
      <c r="B294" s="5" t="s">
        <v>13</v>
      </c>
      <c r="C294" s="5" t="s">
        <v>29</v>
      </c>
    </row>
    <row r="295" spans="1:3" x14ac:dyDescent="0.3">
      <c r="A295" s="8">
        <v>294</v>
      </c>
      <c r="B295" s="5" t="s">
        <v>13</v>
      </c>
      <c r="C295" s="5" t="s">
        <v>29</v>
      </c>
    </row>
    <row r="296" spans="1:3" x14ac:dyDescent="0.3">
      <c r="A296" s="8">
        <v>295</v>
      </c>
      <c r="B296" s="5" t="s">
        <v>13</v>
      </c>
      <c r="C296" s="5" t="s">
        <v>29</v>
      </c>
    </row>
    <row r="297" spans="1:3" x14ac:dyDescent="0.3">
      <c r="A297" s="8">
        <v>296</v>
      </c>
      <c r="B297" s="5" t="s">
        <v>13</v>
      </c>
      <c r="C297" s="5" t="s">
        <v>29</v>
      </c>
    </row>
    <row r="298" spans="1:3" x14ac:dyDescent="0.3">
      <c r="A298" s="8">
        <v>297</v>
      </c>
      <c r="B298" s="5" t="s">
        <v>13</v>
      </c>
      <c r="C298" s="5" t="s">
        <v>29</v>
      </c>
    </row>
    <row r="299" spans="1:3" x14ac:dyDescent="0.3">
      <c r="A299" s="8">
        <v>298</v>
      </c>
      <c r="B299" s="5" t="s">
        <v>13</v>
      </c>
      <c r="C299" s="5" t="s">
        <v>29</v>
      </c>
    </row>
    <row r="300" spans="1:3" x14ac:dyDescent="0.3">
      <c r="A300" s="8">
        <v>299</v>
      </c>
      <c r="B300" s="5" t="s">
        <v>13</v>
      </c>
      <c r="C300" s="5" t="s">
        <v>29</v>
      </c>
    </row>
    <row r="301" spans="1:3" x14ac:dyDescent="0.3">
      <c r="A301" s="8">
        <v>300</v>
      </c>
      <c r="B301" s="5" t="s">
        <v>13</v>
      </c>
      <c r="C301" s="5" t="s">
        <v>29</v>
      </c>
    </row>
    <row r="302" spans="1:3" x14ac:dyDescent="0.3">
      <c r="A302" s="8">
        <v>301</v>
      </c>
      <c r="B302" s="5" t="s">
        <v>13</v>
      </c>
      <c r="C302" s="5" t="s">
        <v>29</v>
      </c>
    </row>
    <row r="303" spans="1:3" x14ac:dyDescent="0.3">
      <c r="A303" s="8">
        <v>302</v>
      </c>
      <c r="B303" s="5" t="s">
        <v>13</v>
      </c>
      <c r="C303" s="5" t="s">
        <v>29</v>
      </c>
    </row>
    <row r="304" spans="1:3" x14ac:dyDescent="0.3">
      <c r="A304" s="8">
        <v>303</v>
      </c>
      <c r="B304" s="5" t="s">
        <v>13</v>
      </c>
      <c r="C304" s="5" t="s">
        <v>29</v>
      </c>
    </row>
    <row r="305" spans="1:3" x14ac:dyDescent="0.3">
      <c r="A305" s="8">
        <v>304</v>
      </c>
      <c r="B305" s="5" t="s">
        <v>13</v>
      </c>
      <c r="C305" s="5" t="s">
        <v>29</v>
      </c>
    </row>
    <row r="306" spans="1:3" x14ac:dyDescent="0.3">
      <c r="A306" s="8">
        <v>305</v>
      </c>
      <c r="B306" s="5" t="s">
        <v>13</v>
      </c>
      <c r="C306" s="5" t="s">
        <v>29</v>
      </c>
    </row>
    <row r="307" spans="1:3" x14ac:dyDescent="0.3">
      <c r="A307" s="8">
        <v>306</v>
      </c>
      <c r="B307" s="5" t="s">
        <v>13</v>
      </c>
      <c r="C307" s="5" t="s">
        <v>29</v>
      </c>
    </row>
    <row r="308" spans="1:3" x14ac:dyDescent="0.3">
      <c r="A308" s="8">
        <v>307</v>
      </c>
      <c r="B308" s="5" t="s">
        <v>13</v>
      </c>
      <c r="C308" s="5" t="s">
        <v>29</v>
      </c>
    </row>
    <row r="309" spans="1:3" x14ac:dyDescent="0.3">
      <c r="A309" s="8">
        <v>308</v>
      </c>
      <c r="B309" s="5" t="s">
        <v>13</v>
      </c>
      <c r="C309" s="5" t="s">
        <v>29</v>
      </c>
    </row>
    <row r="310" spans="1:3" x14ac:dyDescent="0.3">
      <c r="A310" s="8">
        <v>309</v>
      </c>
      <c r="B310" s="5" t="s">
        <v>13</v>
      </c>
      <c r="C310" s="5" t="s">
        <v>29</v>
      </c>
    </row>
    <row r="311" spans="1:3" x14ac:dyDescent="0.3">
      <c r="A311" s="8">
        <v>310</v>
      </c>
      <c r="B311" s="5" t="s">
        <v>13</v>
      </c>
      <c r="C311" s="5" t="s">
        <v>29</v>
      </c>
    </row>
    <row r="312" spans="1:3" x14ac:dyDescent="0.3">
      <c r="A312" s="8">
        <v>311</v>
      </c>
      <c r="B312" s="5" t="s">
        <v>13</v>
      </c>
      <c r="C312" s="5" t="s">
        <v>29</v>
      </c>
    </row>
    <row r="313" spans="1:3" x14ac:dyDescent="0.3">
      <c r="A313" s="8">
        <v>312</v>
      </c>
      <c r="B313" s="5" t="s">
        <v>13</v>
      </c>
      <c r="C313" s="5" t="s">
        <v>29</v>
      </c>
    </row>
    <row r="314" spans="1:3" x14ac:dyDescent="0.3">
      <c r="A314" s="8">
        <v>313</v>
      </c>
      <c r="B314" s="5" t="s">
        <v>13</v>
      </c>
      <c r="C314" s="5" t="s">
        <v>29</v>
      </c>
    </row>
    <row r="315" spans="1:3" x14ac:dyDescent="0.3">
      <c r="A315" s="8">
        <v>314</v>
      </c>
      <c r="B315" s="5" t="s">
        <v>13</v>
      </c>
      <c r="C315" s="5" t="s">
        <v>29</v>
      </c>
    </row>
    <row r="316" spans="1:3" x14ac:dyDescent="0.3">
      <c r="A316" s="8">
        <v>315</v>
      </c>
      <c r="B316" s="5" t="s">
        <v>13</v>
      </c>
      <c r="C316" s="5" t="s">
        <v>29</v>
      </c>
    </row>
    <row r="317" spans="1:3" x14ac:dyDescent="0.3">
      <c r="A317" s="8">
        <v>316</v>
      </c>
      <c r="B317" s="5" t="s">
        <v>13</v>
      </c>
      <c r="C317" s="5" t="s">
        <v>29</v>
      </c>
    </row>
    <row r="318" spans="1:3" x14ac:dyDescent="0.3">
      <c r="A318" s="8">
        <v>317</v>
      </c>
      <c r="B318" s="5" t="s">
        <v>13</v>
      </c>
      <c r="C318" s="5" t="s">
        <v>29</v>
      </c>
    </row>
    <row r="319" spans="1:3" x14ac:dyDescent="0.3">
      <c r="A319" s="8">
        <v>318</v>
      </c>
      <c r="B319" s="5" t="s">
        <v>13</v>
      </c>
      <c r="C319" s="5" t="s">
        <v>29</v>
      </c>
    </row>
    <row r="320" spans="1:3" x14ac:dyDescent="0.3">
      <c r="A320" s="8">
        <v>319</v>
      </c>
      <c r="B320" s="5" t="s">
        <v>13</v>
      </c>
      <c r="C320" s="5" t="s">
        <v>29</v>
      </c>
    </row>
    <row r="321" spans="1:3" x14ac:dyDescent="0.3">
      <c r="A321" s="8">
        <v>320</v>
      </c>
      <c r="B321" s="5" t="s">
        <v>13</v>
      </c>
      <c r="C321" s="5" t="s">
        <v>24</v>
      </c>
    </row>
    <row r="322" spans="1:3" x14ac:dyDescent="0.3">
      <c r="A322" s="8">
        <v>321</v>
      </c>
      <c r="B322" s="5" t="s">
        <v>13</v>
      </c>
      <c r="C322" s="5" t="s">
        <v>31</v>
      </c>
    </row>
    <row r="323" spans="1:3" x14ac:dyDescent="0.3">
      <c r="A323" s="8">
        <v>322</v>
      </c>
      <c r="B323" s="5" t="s">
        <v>13</v>
      </c>
      <c r="C323" s="5" t="s">
        <v>31</v>
      </c>
    </row>
    <row r="324" spans="1:3" x14ac:dyDescent="0.3">
      <c r="A324" s="8">
        <v>323</v>
      </c>
      <c r="B324" s="5" t="s">
        <v>13</v>
      </c>
      <c r="C324" s="5" t="s">
        <v>32</v>
      </c>
    </row>
    <row r="325" spans="1:3" x14ac:dyDescent="0.3">
      <c r="A325" s="8">
        <v>324</v>
      </c>
      <c r="B325" s="5" t="s">
        <v>13</v>
      </c>
      <c r="C325" s="5" t="s">
        <v>32</v>
      </c>
    </row>
    <row r="326" spans="1:3" x14ac:dyDescent="0.3">
      <c r="A326" s="8">
        <v>325</v>
      </c>
      <c r="B326" s="5" t="s">
        <v>13</v>
      </c>
      <c r="C326" s="5" t="s">
        <v>33</v>
      </c>
    </row>
    <row r="327" spans="1:3" x14ac:dyDescent="0.3">
      <c r="A327" s="8">
        <v>326</v>
      </c>
      <c r="B327" s="5" t="s">
        <v>13</v>
      </c>
      <c r="C327" s="5" t="s">
        <v>34</v>
      </c>
    </row>
    <row r="328" spans="1:3" x14ac:dyDescent="0.3">
      <c r="A328" s="8">
        <v>327</v>
      </c>
      <c r="B328" s="5" t="s">
        <v>1</v>
      </c>
      <c r="C328" s="5" t="s">
        <v>35</v>
      </c>
    </row>
    <row r="329" spans="1:3" x14ac:dyDescent="0.3">
      <c r="A329" s="8">
        <v>328</v>
      </c>
      <c r="B329" s="5" t="s">
        <v>1</v>
      </c>
      <c r="C329" s="5" t="s">
        <v>36</v>
      </c>
    </row>
    <row r="330" spans="1:3" x14ac:dyDescent="0.3">
      <c r="A330" s="8">
        <v>329</v>
      </c>
      <c r="B330" s="5" t="s">
        <v>1</v>
      </c>
      <c r="C330" s="5" t="s">
        <v>35</v>
      </c>
    </row>
    <row r="331" spans="1:3" x14ac:dyDescent="0.3">
      <c r="A331" s="8">
        <v>330</v>
      </c>
      <c r="B331" s="5" t="s">
        <v>1</v>
      </c>
      <c r="C331" s="5" t="s">
        <v>35</v>
      </c>
    </row>
    <row r="332" spans="1:3" x14ac:dyDescent="0.3">
      <c r="A332" s="8">
        <v>331</v>
      </c>
      <c r="B332" s="5" t="s">
        <v>1</v>
      </c>
      <c r="C332" s="5" t="s">
        <v>35</v>
      </c>
    </row>
    <row r="333" spans="1:3" x14ac:dyDescent="0.3">
      <c r="A333" s="8">
        <v>332</v>
      </c>
      <c r="B333" s="5" t="s">
        <v>1</v>
      </c>
      <c r="C333" s="5" t="s">
        <v>35</v>
      </c>
    </row>
    <row r="334" spans="1:3" x14ac:dyDescent="0.3">
      <c r="A334" s="8">
        <v>333</v>
      </c>
      <c r="B334" s="5" t="s">
        <v>1</v>
      </c>
      <c r="C334" s="5" t="s">
        <v>35</v>
      </c>
    </row>
    <row r="335" spans="1:3" x14ac:dyDescent="0.3">
      <c r="A335" s="8">
        <v>334</v>
      </c>
      <c r="B335" s="5" t="s">
        <v>1</v>
      </c>
      <c r="C335" s="5" t="s">
        <v>35</v>
      </c>
    </row>
    <row r="336" spans="1:3" x14ac:dyDescent="0.3">
      <c r="A336" s="8">
        <v>335</v>
      </c>
      <c r="B336" s="5" t="s">
        <v>1</v>
      </c>
      <c r="C336" s="5" t="s">
        <v>35</v>
      </c>
    </row>
    <row r="337" spans="1:3" x14ac:dyDescent="0.3">
      <c r="A337" s="8">
        <v>336</v>
      </c>
      <c r="B337" s="5" t="s">
        <v>1</v>
      </c>
      <c r="C337" s="5" t="s">
        <v>35</v>
      </c>
    </row>
    <row r="338" spans="1:3" x14ac:dyDescent="0.3">
      <c r="A338" s="8">
        <v>337</v>
      </c>
      <c r="B338" s="5" t="s">
        <v>1</v>
      </c>
      <c r="C338" s="5" t="s">
        <v>35</v>
      </c>
    </row>
    <row r="339" spans="1:3" x14ac:dyDescent="0.3">
      <c r="A339" s="8">
        <v>338</v>
      </c>
      <c r="B339" s="5" t="s">
        <v>6</v>
      </c>
      <c r="C339" s="5" t="s">
        <v>37</v>
      </c>
    </row>
    <row r="340" spans="1:3" x14ac:dyDescent="0.3">
      <c r="A340" s="8">
        <v>339</v>
      </c>
      <c r="B340" s="5" t="s">
        <v>6</v>
      </c>
      <c r="C340" s="5" t="s">
        <v>37</v>
      </c>
    </row>
    <row r="341" spans="1:3" x14ac:dyDescent="0.3">
      <c r="A341" s="8">
        <v>340</v>
      </c>
      <c r="B341" s="5" t="s">
        <v>6</v>
      </c>
      <c r="C341" s="5" t="s">
        <v>37</v>
      </c>
    </row>
    <row r="342" spans="1:3" x14ac:dyDescent="0.3">
      <c r="A342" s="8">
        <v>341</v>
      </c>
      <c r="B342" s="5" t="s">
        <v>6</v>
      </c>
      <c r="C342" s="5" t="s">
        <v>37</v>
      </c>
    </row>
    <row r="343" spans="1:3" x14ac:dyDescent="0.3">
      <c r="A343" s="8">
        <v>342</v>
      </c>
      <c r="B343" s="5" t="s">
        <v>6</v>
      </c>
      <c r="C343" s="5" t="s">
        <v>37</v>
      </c>
    </row>
    <row r="344" spans="1:3" x14ac:dyDescent="0.3">
      <c r="A344" s="8">
        <v>343</v>
      </c>
      <c r="B344" s="5" t="s">
        <v>6</v>
      </c>
      <c r="C344" s="5" t="s">
        <v>37</v>
      </c>
    </row>
    <row r="345" spans="1:3" x14ac:dyDescent="0.3">
      <c r="A345" s="8">
        <v>344</v>
      </c>
      <c r="B345" s="5" t="s">
        <v>6</v>
      </c>
      <c r="C345" s="5" t="s">
        <v>37</v>
      </c>
    </row>
    <row r="346" spans="1:3" x14ac:dyDescent="0.3">
      <c r="A346" s="8">
        <v>345</v>
      </c>
      <c r="B346" s="5" t="s">
        <v>6</v>
      </c>
      <c r="C346" s="5" t="s">
        <v>37</v>
      </c>
    </row>
    <row r="347" spans="1:3" x14ac:dyDescent="0.3">
      <c r="A347" s="8">
        <v>346</v>
      </c>
      <c r="B347" s="5" t="s">
        <v>4</v>
      </c>
      <c r="C347" s="5" t="s">
        <v>38</v>
      </c>
    </row>
    <row r="348" spans="1:3" x14ac:dyDescent="0.3">
      <c r="A348" s="8">
        <v>347</v>
      </c>
      <c r="B348" s="5" t="s">
        <v>4</v>
      </c>
      <c r="C348" s="5" t="s">
        <v>38</v>
      </c>
    </row>
    <row r="349" spans="1:3" x14ac:dyDescent="0.3">
      <c r="A349" s="8">
        <v>348</v>
      </c>
      <c r="B349" s="5" t="s">
        <v>4</v>
      </c>
      <c r="C349" s="5" t="s">
        <v>39</v>
      </c>
    </row>
    <row r="350" spans="1:3" x14ac:dyDescent="0.3">
      <c r="A350" s="8">
        <v>349</v>
      </c>
      <c r="B350" s="5" t="s">
        <v>4</v>
      </c>
      <c r="C350" s="5" t="s">
        <v>38</v>
      </c>
    </row>
    <row r="351" spans="1:3" x14ac:dyDescent="0.3">
      <c r="A351" s="8">
        <v>350</v>
      </c>
      <c r="B351" s="5" t="s">
        <v>4</v>
      </c>
      <c r="C351" s="5" t="s">
        <v>38</v>
      </c>
    </row>
    <row r="352" spans="1:3" x14ac:dyDescent="0.3">
      <c r="A352" s="8">
        <v>351</v>
      </c>
      <c r="B352" s="5" t="s">
        <v>4</v>
      </c>
      <c r="C352" s="5" t="s">
        <v>39</v>
      </c>
    </row>
    <row r="353" spans="1:3" x14ac:dyDescent="0.3">
      <c r="A353" s="8">
        <v>352</v>
      </c>
      <c r="B353" s="5" t="s">
        <v>2</v>
      </c>
      <c r="C353" s="5" t="s">
        <v>40</v>
      </c>
    </row>
    <row r="354" spans="1:3" x14ac:dyDescent="0.3">
      <c r="A354" s="8">
        <v>353</v>
      </c>
      <c r="B354" s="5" t="s">
        <v>2</v>
      </c>
      <c r="C354" s="5" t="s">
        <v>40</v>
      </c>
    </row>
    <row r="355" spans="1:3" x14ac:dyDescent="0.3">
      <c r="A355" s="8">
        <v>354</v>
      </c>
      <c r="B355" s="5" t="s">
        <v>2</v>
      </c>
      <c r="C355" s="5" t="s">
        <v>41</v>
      </c>
    </row>
    <row r="356" spans="1:3" x14ac:dyDescent="0.3">
      <c r="A356" s="8">
        <v>355</v>
      </c>
      <c r="B356" s="5" t="s">
        <v>2</v>
      </c>
      <c r="C356" s="5" t="s">
        <v>41</v>
      </c>
    </row>
    <row r="357" spans="1:3" x14ac:dyDescent="0.3">
      <c r="A357" s="8">
        <v>356</v>
      </c>
      <c r="B357" s="5" t="s">
        <v>2</v>
      </c>
      <c r="C357" s="5" t="s">
        <v>42</v>
      </c>
    </row>
    <row r="358" spans="1:3" x14ac:dyDescent="0.3">
      <c r="A358" s="8">
        <v>357</v>
      </c>
      <c r="B358" s="5" t="s">
        <v>2</v>
      </c>
      <c r="C358" s="5" t="s">
        <v>43</v>
      </c>
    </row>
    <row r="359" spans="1:3" x14ac:dyDescent="0.3">
      <c r="A359" s="8">
        <v>358</v>
      </c>
      <c r="B359" s="5" t="s">
        <v>2</v>
      </c>
      <c r="C359" s="5" t="s">
        <v>43</v>
      </c>
    </row>
    <row r="360" spans="1:3" x14ac:dyDescent="0.3">
      <c r="A360" s="8">
        <v>359</v>
      </c>
      <c r="B360" s="5" t="s">
        <v>2</v>
      </c>
      <c r="C360" s="5" t="s">
        <v>43</v>
      </c>
    </row>
    <row r="361" spans="1:3" x14ac:dyDescent="0.3">
      <c r="A361" s="8">
        <v>360</v>
      </c>
      <c r="B361" s="5" t="s">
        <v>2</v>
      </c>
      <c r="C361" s="5" t="s">
        <v>44</v>
      </c>
    </row>
    <row r="362" spans="1:3" x14ac:dyDescent="0.3">
      <c r="A362" s="8">
        <v>361</v>
      </c>
      <c r="B362" s="5" t="s">
        <v>2</v>
      </c>
      <c r="C362" s="5" t="s">
        <v>45</v>
      </c>
    </row>
    <row r="363" spans="1:3" x14ac:dyDescent="0.3">
      <c r="A363" s="8">
        <v>362</v>
      </c>
      <c r="B363" s="5" t="s">
        <v>2</v>
      </c>
      <c r="C363" s="5" t="s">
        <v>46</v>
      </c>
    </row>
    <row r="364" spans="1:3" x14ac:dyDescent="0.3">
      <c r="A364" s="8">
        <v>363</v>
      </c>
      <c r="B364" s="5" t="s">
        <v>2</v>
      </c>
      <c r="C364" s="5" t="s">
        <v>46</v>
      </c>
    </row>
    <row r="365" spans="1:3" x14ac:dyDescent="0.3">
      <c r="A365" s="8">
        <v>364</v>
      </c>
      <c r="B365" s="5" t="s">
        <v>2</v>
      </c>
      <c r="C365" s="5" t="s">
        <v>47</v>
      </c>
    </row>
    <row r="366" spans="1:3" x14ac:dyDescent="0.3">
      <c r="A366" s="8">
        <v>365</v>
      </c>
      <c r="B366" s="5" t="s">
        <v>2</v>
      </c>
      <c r="C366" s="5" t="s">
        <v>44</v>
      </c>
    </row>
    <row r="367" spans="1:3" x14ac:dyDescent="0.3">
      <c r="A367" s="8">
        <v>366</v>
      </c>
      <c r="B367" s="5" t="s">
        <v>2</v>
      </c>
      <c r="C367" s="5" t="s">
        <v>48</v>
      </c>
    </row>
    <row r="368" spans="1:3" x14ac:dyDescent="0.3">
      <c r="A368" s="8">
        <v>367</v>
      </c>
      <c r="B368" s="5" t="s">
        <v>2</v>
      </c>
      <c r="C368" s="5" t="s">
        <v>48</v>
      </c>
    </row>
    <row r="369" spans="1:3" x14ac:dyDescent="0.3">
      <c r="A369" s="8">
        <v>368</v>
      </c>
      <c r="B369" s="5" t="s">
        <v>2</v>
      </c>
      <c r="C369" s="5" t="s">
        <v>49</v>
      </c>
    </row>
    <row r="370" spans="1:3" x14ac:dyDescent="0.3">
      <c r="A370" s="8">
        <v>369</v>
      </c>
      <c r="B370" s="5" t="s">
        <v>2</v>
      </c>
      <c r="C370" s="5" t="s">
        <v>49</v>
      </c>
    </row>
    <row r="371" spans="1:3" x14ac:dyDescent="0.3">
      <c r="A371" s="8">
        <v>370</v>
      </c>
      <c r="B371" s="5" t="s">
        <v>2</v>
      </c>
      <c r="C371" s="5" t="s">
        <v>49</v>
      </c>
    </row>
    <row r="372" spans="1:3" x14ac:dyDescent="0.3">
      <c r="A372" s="8">
        <v>371</v>
      </c>
      <c r="B372" s="5" t="s">
        <v>2</v>
      </c>
      <c r="C372" s="5" t="s">
        <v>47</v>
      </c>
    </row>
    <row r="373" spans="1:3" x14ac:dyDescent="0.3">
      <c r="A373" s="8">
        <v>372</v>
      </c>
      <c r="B373" s="5" t="s">
        <v>2</v>
      </c>
      <c r="C373" s="5" t="s">
        <v>47</v>
      </c>
    </row>
    <row r="374" spans="1:3" x14ac:dyDescent="0.3">
      <c r="A374" s="8">
        <v>373</v>
      </c>
      <c r="B374" s="5" t="s">
        <v>2</v>
      </c>
      <c r="C374" s="5" t="s">
        <v>50</v>
      </c>
    </row>
    <row r="375" spans="1:3" x14ac:dyDescent="0.3">
      <c r="A375" s="8">
        <v>374</v>
      </c>
      <c r="B375" s="5" t="s">
        <v>2</v>
      </c>
      <c r="C375" s="5" t="s">
        <v>50</v>
      </c>
    </row>
    <row r="376" spans="1:3" x14ac:dyDescent="0.3">
      <c r="A376" s="8">
        <v>375</v>
      </c>
      <c r="B376" s="5" t="s">
        <v>2</v>
      </c>
      <c r="C376" s="5" t="s">
        <v>51</v>
      </c>
    </row>
    <row r="377" spans="1:3" x14ac:dyDescent="0.3">
      <c r="A377" s="8">
        <v>376</v>
      </c>
      <c r="B377" s="5" t="s">
        <v>52</v>
      </c>
      <c r="C377" s="5" t="s">
        <v>46</v>
      </c>
    </row>
    <row r="378" spans="1:3" x14ac:dyDescent="0.3">
      <c r="A378" s="8">
        <v>377</v>
      </c>
      <c r="B378" s="5" t="s">
        <v>52</v>
      </c>
      <c r="C378" s="5" t="s">
        <v>46</v>
      </c>
    </row>
    <row r="379" spans="1:3" x14ac:dyDescent="0.3">
      <c r="A379" s="8">
        <v>378</v>
      </c>
      <c r="B379" s="5" t="s">
        <v>52</v>
      </c>
      <c r="C379" s="5" t="s">
        <v>46</v>
      </c>
    </row>
    <row r="380" spans="1:3" x14ac:dyDescent="0.3">
      <c r="A380" s="8">
        <v>379</v>
      </c>
      <c r="B380" s="5" t="s">
        <v>52</v>
      </c>
      <c r="C380" s="5" t="s">
        <v>46</v>
      </c>
    </row>
    <row r="381" spans="1:3" x14ac:dyDescent="0.3">
      <c r="A381" s="8">
        <v>380</v>
      </c>
      <c r="B381" s="5" t="s">
        <v>52</v>
      </c>
      <c r="C381" s="5" t="s">
        <v>46</v>
      </c>
    </row>
    <row r="382" spans="1:3" x14ac:dyDescent="0.3">
      <c r="A382" s="8">
        <v>381</v>
      </c>
      <c r="B382" s="5" t="s">
        <v>52</v>
      </c>
      <c r="C382" s="5" t="s">
        <v>51</v>
      </c>
    </row>
    <row r="383" spans="1:3" x14ac:dyDescent="0.3">
      <c r="A383" s="8">
        <v>382</v>
      </c>
      <c r="B383" s="5" t="s">
        <v>52</v>
      </c>
      <c r="C383" s="5" t="s">
        <v>53</v>
      </c>
    </row>
    <row r="384" spans="1:3" x14ac:dyDescent="0.3">
      <c r="A384" s="8">
        <v>383</v>
      </c>
      <c r="B384" s="5" t="s">
        <v>52</v>
      </c>
      <c r="C384" s="5" t="s">
        <v>51</v>
      </c>
    </row>
    <row r="385" spans="1:3" x14ac:dyDescent="0.3">
      <c r="A385" s="8">
        <v>384</v>
      </c>
      <c r="B385" s="5" t="s">
        <v>52</v>
      </c>
      <c r="C385" s="5" t="s">
        <v>51</v>
      </c>
    </row>
    <row r="386" spans="1:3" x14ac:dyDescent="0.3">
      <c r="A386" s="8">
        <v>385</v>
      </c>
      <c r="B386" s="5" t="s">
        <v>52</v>
      </c>
      <c r="C386" s="5" t="s">
        <v>50</v>
      </c>
    </row>
    <row r="387" spans="1:3" x14ac:dyDescent="0.3">
      <c r="A387" s="8">
        <v>386</v>
      </c>
      <c r="B387" s="5" t="s">
        <v>52</v>
      </c>
      <c r="C387" s="5" t="s">
        <v>49</v>
      </c>
    </row>
    <row r="388" spans="1:3" x14ac:dyDescent="0.3">
      <c r="A388" s="8">
        <v>387</v>
      </c>
      <c r="B388" s="5" t="s">
        <v>52</v>
      </c>
      <c r="C388" s="5" t="s">
        <v>47</v>
      </c>
    </row>
    <row r="389" spans="1:3" x14ac:dyDescent="0.3">
      <c r="A389" s="8">
        <v>388</v>
      </c>
      <c r="B389" s="5" t="s">
        <v>52</v>
      </c>
      <c r="C389" s="5" t="s">
        <v>50</v>
      </c>
    </row>
    <row r="390" spans="1:3" x14ac:dyDescent="0.3">
      <c r="A390" s="8">
        <v>389</v>
      </c>
      <c r="B390" s="5" t="s">
        <v>52</v>
      </c>
      <c r="C390" s="5" t="s">
        <v>47</v>
      </c>
    </row>
    <row r="391" spans="1:3" x14ac:dyDescent="0.3">
      <c r="A391" s="8">
        <v>390</v>
      </c>
      <c r="B391" s="4" t="s">
        <v>5</v>
      </c>
      <c r="C391" s="5" t="s">
        <v>54</v>
      </c>
    </row>
    <row r="392" spans="1:3" x14ac:dyDescent="0.3">
      <c r="A392" s="8">
        <v>391</v>
      </c>
      <c r="B392" s="4" t="s">
        <v>5</v>
      </c>
      <c r="C392" s="5" t="s">
        <v>55</v>
      </c>
    </row>
    <row r="393" spans="1:3" x14ac:dyDescent="0.3">
      <c r="A393" s="8">
        <v>392</v>
      </c>
      <c r="B393" s="4" t="s">
        <v>5</v>
      </c>
      <c r="C393" s="5" t="s">
        <v>56</v>
      </c>
    </row>
    <row r="394" spans="1:3" x14ac:dyDescent="0.3">
      <c r="A394" s="8">
        <v>393</v>
      </c>
      <c r="B394" s="4" t="s">
        <v>5</v>
      </c>
      <c r="C394" s="5" t="s">
        <v>57</v>
      </c>
    </row>
    <row r="395" spans="1:3" x14ac:dyDescent="0.3">
      <c r="A395" s="8">
        <v>394</v>
      </c>
      <c r="B395" s="4" t="s">
        <v>5</v>
      </c>
      <c r="C395" s="5" t="s">
        <v>56</v>
      </c>
    </row>
    <row r="396" spans="1:3" x14ac:dyDescent="0.3">
      <c r="A396" s="8">
        <v>395</v>
      </c>
      <c r="B396" s="4" t="s">
        <v>5</v>
      </c>
      <c r="C396" s="5" t="s">
        <v>54</v>
      </c>
    </row>
    <row r="397" spans="1:3" x14ac:dyDescent="0.3">
      <c r="A397" s="8">
        <v>396</v>
      </c>
      <c r="B397" s="4" t="s">
        <v>5</v>
      </c>
      <c r="C397" s="5" t="s">
        <v>57</v>
      </c>
    </row>
    <row r="398" spans="1:3" x14ac:dyDescent="0.3">
      <c r="A398" s="8">
        <v>397</v>
      </c>
      <c r="B398" s="4" t="s">
        <v>5</v>
      </c>
      <c r="C398" s="5" t="s">
        <v>58</v>
      </c>
    </row>
    <row r="399" spans="1:3" x14ac:dyDescent="0.3">
      <c r="A399" s="8">
        <v>398</v>
      </c>
      <c r="B399" s="4" t="s">
        <v>5</v>
      </c>
      <c r="C399" s="5" t="s">
        <v>58</v>
      </c>
    </row>
    <row r="400" spans="1:3" x14ac:dyDescent="0.3">
      <c r="A400" s="8">
        <v>399</v>
      </c>
      <c r="B400" s="4" t="s">
        <v>5</v>
      </c>
      <c r="C400" s="5" t="s">
        <v>59</v>
      </c>
    </row>
    <row r="401" spans="1:3" x14ac:dyDescent="0.3">
      <c r="A401" s="8">
        <v>400</v>
      </c>
      <c r="B401" s="4" t="s">
        <v>5</v>
      </c>
      <c r="C401" s="5" t="s">
        <v>58</v>
      </c>
    </row>
    <row r="402" spans="1:3" x14ac:dyDescent="0.3">
      <c r="A402" s="8">
        <v>401</v>
      </c>
      <c r="B402" s="5" t="s">
        <v>10</v>
      </c>
      <c r="C402" s="5" t="s">
        <v>60</v>
      </c>
    </row>
    <row r="403" spans="1:3" x14ac:dyDescent="0.3">
      <c r="A403" s="8">
        <v>402</v>
      </c>
      <c r="B403" s="5" t="s">
        <v>10</v>
      </c>
      <c r="C403" s="5" t="s">
        <v>60</v>
      </c>
    </row>
    <row r="404" spans="1:3" x14ac:dyDescent="0.3">
      <c r="A404" s="8">
        <v>403</v>
      </c>
      <c r="B404" s="5" t="s">
        <v>10</v>
      </c>
      <c r="C404" s="5" t="s">
        <v>60</v>
      </c>
    </row>
    <row r="405" spans="1:3" x14ac:dyDescent="0.3">
      <c r="A405" s="8">
        <v>404</v>
      </c>
      <c r="B405" s="5" t="s">
        <v>10</v>
      </c>
      <c r="C405" s="5" t="s">
        <v>60</v>
      </c>
    </row>
    <row r="406" spans="1:3" x14ac:dyDescent="0.3">
      <c r="A406" s="8">
        <v>405</v>
      </c>
      <c r="B406" s="5" t="s">
        <v>10</v>
      </c>
      <c r="C406" s="5" t="s">
        <v>60</v>
      </c>
    </row>
    <row r="407" spans="1:3" x14ac:dyDescent="0.3">
      <c r="A407" s="8">
        <v>406</v>
      </c>
      <c r="B407" s="5" t="s">
        <v>10</v>
      </c>
      <c r="C407" s="5" t="s">
        <v>60</v>
      </c>
    </row>
    <row r="408" spans="1:3" x14ac:dyDescent="0.3">
      <c r="A408" s="8">
        <v>407</v>
      </c>
      <c r="B408" s="5" t="s">
        <v>8</v>
      </c>
      <c r="C408" s="5" t="s">
        <v>61</v>
      </c>
    </row>
    <row r="409" spans="1:3" x14ac:dyDescent="0.3">
      <c r="A409" s="8">
        <v>408</v>
      </c>
      <c r="B409" s="5" t="s">
        <v>8</v>
      </c>
      <c r="C409" s="5" t="s">
        <v>62</v>
      </c>
    </row>
    <row r="410" spans="1:3" x14ac:dyDescent="0.3">
      <c r="A410" s="8">
        <v>409</v>
      </c>
      <c r="B410" s="5" t="s">
        <v>52</v>
      </c>
      <c r="C410" s="5" t="s">
        <v>46</v>
      </c>
    </row>
    <row r="411" spans="1:3" x14ac:dyDescent="0.3">
      <c r="A411" s="8">
        <v>410</v>
      </c>
      <c r="B411" s="5" t="s">
        <v>4</v>
      </c>
      <c r="C411" s="5" t="s">
        <v>39</v>
      </c>
    </row>
    <row r="412" spans="1:3" x14ac:dyDescent="0.3">
      <c r="A412" s="8">
        <v>411</v>
      </c>
      <c r="B412" s="5" t="s">
        <v>4</v>
      </c>
      <c r="C412" s="5" t="s">
        <v>38</v>
      </c>
    </row>
    <row r="413" spans="1:3" x14ac:dyDescent="0.3">
      <c r="A413" s="8">
        <v>412</v>
      </c>
      <c r="B413" s="5" t="s">
        <v>4</v>
      </c>
      <c r="C413" s="5" t="s">
        <v>38</v>
      </c>
    </row>
    <row r="414" spans="1:3" x14ac:dyDescent="0.3">
      <c r="A414" s="8">
        <v>413</v>
      </c>
      <c r="B414" s="5" t="s">
        <v>2</v>
      </c>
      <c r="C414" s="5" t="s">
        <v>46</v>
      </c>
    </row>
    <row r="415" spans="1:3" x14ac:dyDescent="0.3">
      <c r="A415" s="8">
        <v>414</v>
      </c>
      <c r="B415" s="5" t="s">
        <v>2</v>
      </c>
      <c r="C415" s="5" t="s">
        <v>48</v>
      </c>
    </row>
    <row r="416" spans="1:3" x14ac:dyDescent="0.3">
      <c r="A416" s="8">
        <v>415</v>
      </c>
      <c r="B416" s="5" t="s">
        <v>2</v>
      </c>
      <c r="C416" s="5" t="s">
        <v>50</v>
      </c>
    </row>
    <row r="417" spans="1:3" x14ac:dyDescent="0.3">
      <c r="A417" s="8">
        <v>416</v>
      </c>
      <c r="B417" s="5" t="s">
        <v>13</v>
      </c>
      <c r="C417" s="5" t="s">
        <v>31</v>
      </c>
    </row>
    <row r="418" spans="1:3" x14ac:dyDescent="0.3">
      <c r="A418" s="8">
        <v>417</v>
      </c>
      <c r="B418" s="5" t="s">
        <v>13</v>
      </c>
      <c r="C418" s="5" t="s">
        <v>19</v>
      </c>
    </row>
    <row r="419" spans="1:3" x14ac:dyDescent="0.3">
      <c r="A419" s="8">
        <v>418</v>
      </c>
      <c r="B419" s="5" t="s">
        <v>13</v>
      </c>
      <c r="C419" s="5" t="s">
        <v>24</v>
      </c>
    </row>
    <row r="420" spans="1:3" x14ac:dyDescent="0.3">
      <c r="A420" s="8">
        <v>419</v>
      </c>
      <c r="B420" s="5" t="s">
        <v>13</v>
      </c>
      <c r="C420" s="5" t="s">
        <v>29</v>
      </c>
    </row>
    <row r="421" spans="1:3" x14ac:dyDescent="0.3">
      <c r="A421" s="8">
        <v>420</v>
      </c>
      <c r="B421" s="5" t="s">
        <v>52</v>
      </c>
      <c r="C421" s="5" t="s">
        <v>53</v>
      </c>
    </row>
    <row r="422" spans="1:3" x14ac:dyDescent="0.3">
      <c r="A422" s="8">
        <v>421</v>
      </c>
      <c r="B422" s="5" t="s">
        <v>52</v>
      </c>
      <c r="C422" s="5" t="s">
        <v>50</v>
      </c>
    </row>
    <row r="423" spans="1:3" x14ac:dyDescent="0.3">
      <c r="A423" s="8">
        <v>422</v>
      </c>
      <c r="B423" s="5" t="s">
        <v>52</v>
      </c>
      <c r="C423" s="5" t="s">
        <v>51</v>
      </c>
    </row>
    <row r="424" spans="1:3" x14ac:dyDescent="0.3">
      <c r="A424" s="8">
        <v>423</v>
      </c>
      <c r="B424" s="5" t="s">
        <v>52</v>
      </c>
      <c r="C424" s="5" t="s">
        <v>51</v>
      </c>
    </row>
    <row r="425" spans="1:3" x14ac:dyDescent="0.3">
      <c r="A425" s="8">
        <v>424</v>
      </c>
      <c r="B425" s="4" t="s">
        <v>5</v>
      </c>
      <c r="C425" s="5" t="s">
        <v>59</v>
      </c>
    </row>
    <row r="426" spans="1:3" x14ac:dyDescent="0.3">
      <c r="A426" s="8">
        <v>425</v>
      </c>
      <c r="B426" s="4" t="s">
        <v>5</v>
      </c>
      <c r="C426" s="5" t="s">
        <v>59</v>
      </c>
    </row>
    <row r="427" spans="1:3" x14ac:dyDescent="0.3">
      <c r="A427" s="8">
        <v>426</v>
      </c>
      <c r="B427" s="4" t="s">
        <v>5</v>
      </c>
      <c r="C427" s="5" t="s">
        <v>63</v>
      </c>
    </row>
    <row r="428" spans="1:3" x14ac:dyDescent="0.3">
      <c r="A428" s="8">
        <v>427</v>
      </c>
      <c r="B428" s="4" t="s">
        <v>5</v>
      </c>
      <c r="C428" s="5" t="s">
        <v>64</v>
      </c>
    </row>
    <row r="429" spans="1:3" x14ac:dyDescent="0.3">
      <c r="A429" s="8">
        <v>428</v>
      </c>
      <c r="B429" s="4" t="s">
        <v>5</v>
      </c>
      <c r="C429" s="5" t="s">
        <v>64</v>
      </c>
    </row>
    <row r="430" spans="1:3" x14ac:dyDescent="0.3">
      <c r="A430" s="8">
        <v>429</v>
      </c>
      <c r="B430" s="4" t="s">
        <v>5</v>
      </c>
      <c r="C430" s="5" t="s">
        <v>64</v>
      </c>
    </row>
    <row r="431" spans="1:3" x14ac:dyDescent="0.3">
      <c r="A431" s="8">
        <v>430</v>
      </c>
      <c r="B431" s="4" t="s">
        <v>5</v>
      </c>
      <c r="C431" s="5" t="s">
        <v>65</v>
      </c>
    </row>
    <row r="432" spans="1:3" x14ac:dyDescent="0.3">
      <c r="A432" s="8">
        <v>431</v>
      </c>
      <c r="B432" s="4" t="s">
        <v>5</v>
      </c>
      <c r="C432" s="5" t="s">
        <v>64</v>
      </c>
    </row>
    <row r="433" spans="1:3" x14ac:dyDescent="0.3">
      <c r="A433" s="8">
        <v>432</v>
      </c>
      <c r="B433" s="4" t="s">
        <v>5</v>
      </c>
      <c r="C433" s="5" t="s">
        <v>65</v>
      </c>
    </row>
    <row r="434" spans="1:3" x14ac:dyDescent="0.3">
      <c r="A434" s="8">
        <v>433</v>
      </c>
      <c r="B434" s="5" t="s">
        <v>10</v>
      </c>
      <c r="C434" s="5" t="s">
        <v>60</v>
      </c>
    </row>
    <row r="435" spans="1:3" x14ac:dyDescent="0.3">
      <c r="A435" s="8">
        <v>434</v>
      </c>
      <c r="B435" s="5" t="s">
        <v>10</v>
      </c>
      <c r="C435" s="5" t="s">
        <v>66</v>
      </c>
    </row>
    <row r="436" spans="1:3" x14ac:dyDescent="0.3">
      <c r="A436" s="8">
        <v>435</v>
      </c>
      <c r="B436" s="5" t="s">
        <v>10</v>
      </c>
      <c r="C436" s="5" t="s">
        <v>66</v>
      </c>
    </row>
    <row r="437" spans="1:3" x14ac:dyDescent="0.3">
      <c r="A437" s="8">
        <v>436</v>
      </c>
      <c r="B437" s="5" t="s">
        <v>10</v>
      </c>
      <c r="C437" s="5" t="s">
        <v>66</v>
      </c>
    </row>
    <row r="438" spans="1:3" x14ac:dyDescent="0.3">
      <c r="A438" s="8">
        <v>437</v>
      </c>
      <c r="B438" s="5" t="s">
        <v>10</v>
      </c>
      <c r="C438" s="5" t="s">
        <v>66</v>
      </c>
    </row>
    <row r="439" spans="1:3" x14ac:dyDescent="0.3">
      <c r="A439" s="8">
        <v>438</v>
      </c>
      <c r="B439" s="5" t="s">
        <v>10</v>
      </c>
      <c r="C439" s="5" t="s">
        <v>66</v>
      </c>
    </row>
    <row r="440" spans="1:3" x14ac:dyDescent="0.3">
      <c r="A440" s="8">
        <v>439</v>
      </c>
      <c r="B440" s="14" t="s">
        <v>10</v>
      </c>
      <c r="C440" s="14" t="s">
        <v>66</v>
      </c>
    </row>
    <row r="441" spans="1:3" x14ac:dyDescent="0.3">
      <c r="A441" s="8">
        <v>440</v>
      </c>
      <c r="B441" s="5" t="s">
        <v>10</v>
      </c>
      <c r="C441" s="5" t="s">
        <v>66</v>
      </c>
    </row>
    <row r="442" spans="1:3" x14ac:dyDescent="0.3">
      <c r="A442" s="8">
        <v>441</v>
      </c>
      <c r="B442" s="5" t="s">
        <v>8</v>
      </c>
      <c r="C442" s="5" t="s">
        <v>62</v>
      </c>
    </row>
    <row r="443" spans="1:3" x14ac:dyDescent="0.3">
      <c r="A443" s="8">
        <v>442</v>
      </c>
      <c r="B443" s="5" t="s">
        <v>8</v>
      </c>
      <c r="C443" s="5" t="s">
        <v>61</v>
      </c>
    </row>
    <row r="444" spans="1:3" x14ac:dyDescent="0.3">
      <c r="A444" s="8">
        <v>443</v>
      </c>
      <c r="B444" s="5" t="s">
        <v>8</v>
      </c>
      <c r="C444" s="5" t="s">
        <v>61</v>
      </c>
    </row>
    <row r="445" spans="1:3" x14ac:dyDescent="0.3">
      <c r="A445" s="8">
        <v>444</v>
      </c>
      <c r="B445" s="5" t="s">
        <v>8</v>
      </c>
      <c r="C445" s="5" t="s">
        <v>61</v>
      </c>
    </row>
    <row r="446" spans="1:3" x14ac:dyDescent="0.3">
      <c r="A446" s="8">
        <v>445</v>
      </c>
      <c r="B446" s="5" t="s">
        <v>8</v>
      </c>
      <c r="C446" s="5" t="s">
        <v>61</v>
      </c>
    </row>
    <row r="447" spans="1:3" x14ac:dyDescent="0.3">
      <c r="A447" s="8">
        <v>446</v>
      </c>
      <c r="B447" s="5" t="s">
        <v>8</v>
      </c>
      <c r="C447" s="5" t="s">
        <v>61</v>
      </c>
    </row>
    <row r="448" spans="1:3" x14ac:dyDescent="0.3">
      <c r="A448" s="8">
        <v>447</v>
      </c>
      <c r="B448" s="5" t="s">
        <v>8</v>
      </c>
      <c r="C448" s="5" t="s">
        <v>61</v>
      </c>
    </row>
    <row r="449" spans="1:3" x14ac:dyDescent="0.3">
      <c r="A449" s="8">
        <v>448</v>
      </c>
      <c r="B449" s="5" t="s">
        <v>8</v>
      </c>
      <c r="C449" s="5" t="s">
        <v>61</v>
      </c>
    </row>
    <row r="450" spans="1:3" x14ac:dyDescent="0.3">
      <c r="A450" s="8">
        <v>449</v>
      </c>
      <c r="B450" s="5" t="s">
        <v>8</v>
      </c>
      <c r="C450" s="5" t="s">
        <v>61</v>
      </c>
    </row>
    <row r="451" spans="1:3" x14ac:dyDescent="0.3">
      <c r="A451" s="8">
        <v>450</v>
      </c>
      <c r="B451" s="5" t="s">
        <v>8</v>
      </c>
      <c r="C451" s="5" t="s">
        <v>61</v>
      </c>
    </row>
    <row r="452" spans="1:3" x14ac:dyDescent="0.3">
      <c r="A452" s="8">
        <v>451</v>
      </c>
      <c r="B452" s="5" t="s">
        <v>8</v>
      </c>
      <c r="C452" s="5" t="s">
        <v>61</v>
      </c>
    </row>
    <row r="453" spans="1:3" x14ac:dyDescent="0.3">
      <c r="A453" s="8">
        <v>452</v>
      </c>
      <c r="B453" s="5" t="s">
        <v>8</v>
      </c>
      <c r="C453" s="5" t="s">
        <v>61</v>
      </c>
    </row>
    <row r="454" spans="1:3" x14ac:dyDescent="0.3">
      <c r="A454" s="8">
        <v>453</v>
      </c>
      <c r="B454" s="5" t="s">
        <v>8</v>
      </c>
      <c r="C454" s="5" t="s">
        <v>61</v>
      </c>
    </row>
    <row r="455" spans="1:3" x14ac:dyDescent="0.3">
      <c r="A455" s="8">
        <v>454</v>
      </c>
      <c r="B455" s="5" t="s">
        <v>8</v>
      </c>
      <c r="C455" s="5" t="s">
        <v>62</v>
      </c>
    </row>
    <row r="456" spans="1:3" x14ac:dyDescent="0.3">
      <c r="A456" s="8">
        <v>455</v>
      </c>
      <c r="B456" s="5" t="s">
        <v>13</v>
      </c>
      <c r="C456" s="5" t="s">
        <v>34</v>
      </c>
    </row>
    <row r="457" spans="1:3" x14ac:dyDescent="0.3">
      <c r="A457" s="8">
        <v>456</v>
      </c>
      <c r="B457" s="5" t="s">
        <v>13</v>
      </c>
      <c r="C457" s="5" t="s">
        <v>34</v>
      </c>
    </row>
    <row r="458" spans="1:3" x14ac:dyDescent="0.3">
      <c r="A458" s="8">
        <v>457</v>
      </c>
      <c r="B458" s="5" t="s">
        <v>13</v>
      </c>
      <c r="C458" s="5" t="s">
        <v>34</v>
      </c>
    </row>
    <row r="459" spans="1:3" x14ac:dyDescent="0.3">
      <c r="A459" s="8">
        <v>458</v>
      </c>
      <c r="B459" s="5" t="s">
        <v>13</v>
      </c>
      <c r="C459" s="5" t="s">
        <v>34</v>
      </c>
    </row>
    <row r="460" spans="1:3" x14ac:dyDescent="0.3">
      <c r="A460" s="8">
        <v>459</v>
      </c>
      <c r="B460" s="5" t="s">
        <v>3</v>
      </c>
      <c r="C460" s="5" t="s">
        <v>67</v>
      </c>
    </row>
    <row r="461" spans="1:3" x14ac:dyDescent="0.3">
      <c r="A461" s="8">
        <v>460</v>
      </c>
      <c r="B461" s="5" t="s">
        <v>3</v>
      </c>
      <c r="C461" s="5" t="s">
        <v>67</v>
      </c>
    </row>
    <row r="462" spans="1:3" x14ac:dyDescent="0.3">
      <c r="A462" s="8">
        <v>461</v>
      </c>
      <c r="B462" s="5" t="s">
        <v>3</v>
      </c>
      <c r="C462" s="5" t="s">
        <v>67</v>
      </c>
    </row>
    <row r="463" spans="1:3" x14ac:dyDescent="0.3">
      <c r="A463" s="8">
        <v>462</v>
      </c>
      <c r="B463" s="5" t="s">
        <v>3</v>
      </c>
      <c r="C463" s="5" t="s">
        <v>67</v>
      </c>
    </row>
    <row r="464" spans="1:3" x14ac:dyDescent="0.3">
      <c r="A464" s="8">
        <v>463</v>
      </c>
      <c r="B464" s="5" t="s">
        <v>3</v>
      </c>
      <c r="C464" s="5" t="s">
        <v>67</v>
      </c>
    </row>
    <row r="465" spans="1:3" x14ac:dyDescent="0.3">
      <c r="A465" s="8">
        <v>464</v>
      </c>
      <c r="B465" s="5" t="s">
        <v>3</v>
      </c>
      <c r="C465" s="5" t="s">
        <v>67</v>
      </c>
    </row>
    <row r="466" spans="1:3" x14ac:dyDescent="0.3">
      <c r="A466" s="8">
        <v>465</v>
      </c>
      <c r="B466" s="5" t="s">
        <v>3</v>
      </c>
      <c r="C466" s="5" t="s">
        <v>68</v>
      </c>
    </row>
    <row r="467" spans="1:3" x14ac:dyDescent="0.3">
      <c r="A467" s="8">
        <v>466</v>
      </c>
      <c r="B467" s="5" t="s">
        <v>52</v>
      </c>
      <c r="C467" s="5" t="s">
        <v>53</v>
      </c>
    </row>
    <row r="468" spans="1:3" x14ac:dyDescent="0.3">
      <c r="A468" s="8">
        <v>467</v>
      </c>
      <c r="B468" s="4" t="s">
        <v>5</v>
      </c>
      <c r="C468" s="5" t="s">
        <v>69</v>
      </c>
    </row>
    <row r="469" spans="1:3" x14ac:dyDescent="0.3">
      <c r="A469" s="8">
        <v>468</v>
      </c>
      <c r="B469" s="4" t="s">
        <v>5</v>
      </c>
      <c r="C469" s="5" t="s">
        <v>70</v>
      </c>
    </row>
    <row r="470" spans="1:3" x14ac:dyDescent="0.3">
      <c r="A470" s="8">
        <v>469</v>
      </c>
      <c r="B470" s="4" t="s">
        <v>5</v>
      </c>
      <c r="C470" s="5" t="s">
        <v>71</v>
      </c>
    </row>
    <row r="471" spans="1:3" x14ac:dyDescent="0.3">
      <c r="A471" s="8">
        <v>470</v>
      </c>
      <c r="B471" s="5" t="s">
        <v>6</v>
      </c>
      <c r="C471" s="5" t="s">
        <v>72</v>
      </c>
    </row>
    <row r="472" spans="1:3" x14ac:dyDescent="0.3">
      <c r="A472" s="8">
        <v>471</v>
      </c>
      <c r="B472" s="5" t="s">
        <v>6</v>
      </c>
      <c r="C472" s="5" t="s">
        <v>72</v>
      </c>
    </row>
    <row r="473" spans="1:3" x14ac:dyDescent="0.3">
      <c r="A473" s="8">
        <v>472</v>
      </c>
      <c r="B473" s="4" t="s">
        <v>73</v>
      </c>
      <c r="C473" s="4"/>
    </row>
    <row r="474" spans="1:3" x14ac:dyDescent="0.3">
      <c r="A474" s="8">
        <v>473</v>
      </c>
      <c r="B474" s="4" t="s">
        <v>74</v>
      </c>
      <c r="C474" s="4"/>
    </row>
    <row r="475" spans="1:3" x14ac:dyDescent="0.3">
      <c r="A475" s="8">
        <v>474</v>
      </c>
      <c r="B475" s="5" t="s">
        <v>75</v>
      </c>
      <c r="C475" s="5"/>
    </row>
    <row r="476" spans="1:3" x14ac:dyDescent="0.3">
      <c r="A476" s="8">
        <v>475</v>
      </c>
      <c r="B476" s="5" t="s">
        <v>76</v>
      </c>
      <c r="C476" s="5"/>
    </row>
    <row r="477" spans="1:3" x14ac:dyDescent="0.3">
      <c r="A477" s="8">
        <v>476</v>
      </c>
      <c r="B477" s="5" t="s">
        <v>76</v>
      </c>
      <c r="C477" s="5"/>
    </row>
    <row r="478" spans="1:3" x14ac:dyDescent="0.3">
      <c r="A478" s="8">
        <v>477</v>
      </c>
      <c r="B478" s="5" t="s">
        <v>77</v>
      </c>
      <c r="C478" s="5"/>
    </row>
    <row r="479" spans="1:3" x14ac:dyDescent="0.3">
      <c r="A479" s="8">
        <v>478</v>
      </c>
      <c r="B479" s="5" t="s">
        <v>78</v>
      </c>
      <c r="C479" s="5"/>
    </row>
    <row r="480" spans="1:3" x14ac:dyDescent="0.3">
      <c r="A480" s="8">
        <v>479</v>
      </c>
      <c r="B480" s="5" t="s">
        <v>79</v>
      </c>
      <c r="C480" s="5"/>
    </row>
    <row r="481" spans="1:3" x14ac:dyDescent="0.3">
      <c r="A481" s="8">
        <v>480</v>
      </c>
      <c r="B481" s="5" t="s">
        <v>80</v>
      </c>
      <c r="C481" s="5"/>
    </row>
    <row r="482" spans="1:3" x14ac:dyDescent="0.3">
      <c r="A482" s="8">
        <v>481</v>
      </c>
      <c r="B482" s="5" t="s">
        <v>81</v>
      </c>
      <c r="C482" s="5"/>
    </row>
    <row r="483" spans="1:3" x14ac:dyDescent="0.3">
      <c r="A483" s="8">
        <v>482</v>
      </c>
      <c r="B483" s="5" t="s">
        <v>1</v>
      </c>
      <c r="C483" s="5" t="s">
        <v>36</v>
      </c>
    </row>
    <row r="484" spans="1:3" x14ac:dyDescent="0.3">
      <c r="A484" s="8">
        <v>500</v>
      </c>
      <c r="B484" s="5" t="s">
        <v>82</v>
      </c>
      <c r="C484" s="5"/>
    </row>
    <row r="485" spans="1:3" x14ac:dyDescent="0.3">
      <c r="A485" s="8">
        <v>501</v>
      </c>
      <c r="B485" s="5" t="s">
        <v>83</v>
      </c>
      <c r="C485" s="5"/>
    </row>
    <row r="486" spans="1:3" x14ac:dyDescent="0.3">
      <c r="A486" s="8">
        <v>600</v>
      </c>
      <c r="B486" s="5" t="s">
        <v>13</v>
      </c>
      <c r="C486" s="5" t="s">
        <v>27</v>
      </c>
    </row>
    <row r="487" spans="1:3" x14ac:dyDescent="0.3">
      <c r="A487" s="8">
        <v>601</v>
      </c>
      <c r="B487" s="5" t="s">
        <v>13</v>
      </c>
      <c r="C487" s="5" t="s">
        <v>24</v>
      </c>
    </row>
    <row r="488" spans="1:3" x14ac:dyDescent="0.3">
      <c r="A488" s="8">
        <v>602</v>
      </c>
      <c r="B488" s="5" t="s">
        <v>13</v>
      </c>
      <c r="C488" s="5" t="s">
        <v>31</v>
      </c>
    </row>
    <row r="489" spans="1:3" x14ac:dyDescent="0.3">
      <c r="A489" s="8">
        <v>603</v>
      </c>
      <c r="B489" s="5" t="s">
        <v>13</v>
      </c>
      <c r="C489" s="5" t="s">
        <v>32</v>
      </c>
    </row>
    <row r="490" spans="1:3" x14ac:dyDescent="0.3">
      <c r="A490" s="8">
        <v>604</v>
      </c>
      <c r="B490" s="5" t="s">
        <v>52</v>
      </c>
      <c r="C490" s="5" t="s">
        <v>53</v>
      </c>
    </row>
    <row r="491" spans="1:3" x14ac:dyDescent="0.3">
      <c r="A491" s="8">
        <v>605</v>
      </c>
      <c r="B491" s="5" t="s">
        <v>13</v>
      </c>
      <c r="C491" s="5" t="s">
        <v>32</v>
      </c>
    </row>
    <row r="492" spans="1:3" x14ac:dyDescent="0.3">
      <c r="A492" s="8">
        <v>606</v>
      </c>
      <c r="B492" s="5" t="s">
        <v>3</v>
      </c>
      <c r="C492" s="5" t="s">
        <v>67</v>
      </c>
    </row>
    <row r="493" spans="1:3" x14ac:dyDescent="0.3">
      <c r="A493" s="8">
        <v>607</v>
      </c>
      <c r="B493" s="5" t="s">
        <v>13</v>
      </c>
      <c r="C493" s="5" t="s">
        <v>33</v>
      </c>
    </row>
    <row r="494" spans="1:3" x14ac:dyDescent="0.3">
      <c r="A494" s="8">
        <v>608</v>
      </c>
      <c r="B494" s="5" t="s">
        <v>1</v>
      </c>
      <c r="C494" s="5" t="s">
        <v>36</v>
      </c>
    </row>
    <row r="495" spans="1:3" x14ac:dyDescent="0.3">
      <c r="A495" s="8">
        <v>609</v>
      </c>
      <c r="B495" s="5" t="s">
        <v>1</v>
      </c>
      <c r="C495" s="5" t="s">
        <v>36</v>
      </c>
    </row>
    <row r="496" spans="1:3" x14ac:dyDescent="0.3">
      <c r="A496" s="8">
        <v>610</v>
      </c>
      <c r="B496" s="5" t="s">
        <v>4</v>
      </c>
      <c r="C496" s="5" t="s">
        <v>38</v>
      </c>
    </row>
    <row r="497" spans="1:3" x14ac:dyDescent="0.3">
      <c r="A497" s="8">
        <v>611</v>
      </c>
      <c r="B497" s="5" t="s">
        <v>2</v>
      </c>
      <c r="C497" s="5" t="s">
        <v>40</v>
      </c>
    </row>
    <row r="498" spans="1:3" x14ac:dyDescent="0.3">
      <c r="A498" s="8">
        <v>612</v>
      </c>
      <c r="B498" s="5" t="s">
        <v>2</v>
      </c>
      <c r="C498" s="5" t="s">
        <v>51</v>
      </c>
    </row>
    <row r="499" spans="1:3" x14ac:dyDescent="0.3">
      <c r="A499" s="8">
        <v>613</v>
      </c>
      <c r="B499" s="5" t="s">
        <v>2</v>
      </c>
      <c r="C499" s="5" t="s">
        <v>84</v>
      </c>
    </row>
    <row r="500" spans="1:3" x14ac:dyDescent="0.3">
      <c r="A500" s="8">
        <v>614</v>
      </c>
      <c r="B500" s="5" t="s">
        <v>2</v>
      </c>
      <c r="C500" s="5" t="s">
        <v>41</v>
      </c>
    </row>
    <row r="501" spans="1:3" x14ac:dyDescent="0.3">
      <c r="A501" s="8">
        <v>615</v>
      </c>
      <c r="B501" s="5" t="s">
        <v>8</v>
      </c>
      <c r="C501" s="5" t="s">
        <v>62</v>
      </c>
    </row>
    <row r="502" spans="1:3" x14ac:dyDescent="0.3">
      <c r="A502" s="8">
        <v>616</v>
      </c>
      <c r="B502" s="5" t="s">
        <v>8</v>
      </c>
      <c r="C502" s="5" t="s">
        <v>62</v>
      </c>
    </row>
    <row r="503" spans="1:3" x14ac:dyDescent="0.3">
      <c r="A503" s="8">
        <v>617</v>
      </c>
      <c r="B503" s="5" t="s">
        <v>8</v>
      </c>
      <c r="C503" s="5" t="s">
        <v>62</v>
      </c>
    </row>
    <row r="504" spans="1:3" x14ac:dyDescent="0.3">
      <c r="A504" s="8">
        <v>618</v>
      </c>
      <c r="B504" s="5" t="s">
        <v>4</v>
      </c>
      <c r="C504" s="5" t="s">
        <v>39</v>
      </c>
    </row>
    <row r="505" spans="1:3" x14ac:dyDescent="0.3">
      <c r="A505" s="8">
        <v>619</v>
      </c>
      <c r="B505" s="5" t="s">
        <v>4</v>
      </c>
      <c r="C505" s="5" t="s">
        <v>39</v>
      </c>
    </row>
    <row r="506" spans="1:3" x14ac:dyDescent="0.3">
      <c r="A506" s="8">
        <v>620</v>
      </c>
      <c r="B506" s="5" t="s">
        <v>4</v>
      </c>
      <c r="C506" s="5" t="s">
        <v>39</v>
      </c>
    </row>
    <row r="507" spans="1:3" x14ac:dyDescent="0.3">
      <c r="A507" s="8">
        <v>621</v>
      </c>
      <c r="B507" s="5" t="s">
        <v>4</v>
      </c>
      <c r="C507" s="5" t="s">
        <v>39</v>
      </c>
    </row>
    <row r="508" spans="1:3" x14ac:dyDescent="0.3">
      <c r="A508" s="8">
        <v>622</v>
      </c>
      <c r="B508" s="5" t="s">
        <v>13</v>
      </c>
      <c r="C508" s="5" t="s">
        <v>31</v>
      </c>
    </row>
    <row r="509" spans="1:3" x14ac:dyDescent="0.3">
      <c r="A509" s="8">
        <v>623</v>
      </c>
      <c r="B509" s="5" t="s">
        <v>52</v>
      </c>
      <c r="C509" s="5" t="s">
        <v>45</v>
      </c>
    </row>
    <row r="510" spans="1:3" x14ac:dyDescent="0.3">
      <c r="A510" s="8">
        <v>624</v>
      </c>
      <c r="B510" s="5" t="s">
        <v>52</v>
      </c>
      <c r="C510" s="5" t="s">
        <v>45</v>
      </c>
    </row>
    <row r="511" spans="1:3" x14ac:dyDescent="0.3">
      <c r="A511" s="8">
        <v>625</v>
      </c>
      <c r="B511" s="4" t="s">
        <v>5</v>
      </c>
      <c r="C511" s="5" t="s">
        <v>85</v>
      </c>
    </row>
    <row r="512" spans="1:3" x14ac:dyDescent="0.3">
      <c r="A512" s="8">
        <v>626</v>
      </c>
      <c r="B512" s="5" t="s">
        <v>6</v>
      </c>
      <c r="C512" s="5" t="s">
        <v>72</v>
      </c>
    </row>
    <row r="513" spans="1:3" x14ac:dyDescent="0.3">
      <c r="A513" s="8">
        <v>627</v>
      </c>
      <c r="B513" s="5" t="s">
        <v>6</v>
      </c>
      <c r="C513" s="5" t="s">
        <v>72</v>
      </c>
    </row>
    <row r="514" spans="1:3" x14ac:dyDescent="0.3">
      <c r="A514" s="8">
        <v>628</v>
      </c>
      <c r="B514" s="5" t="s">
        <v>6</v>
      </c>
      <c r="C514" s="5" t="s">
        <v>72</v>
      </c>
    </row>
    <row r="515" spans="1:3" x14ac:dyDescent="0.3">
      <c r="A515" s="8">
        <v>629</v>
      </c>
      <c r="B515" s="5" t="s">
        <v>6</v>
      </c>
      <c r="C515" s="5" t="s">
        <v>72</v>
      </c>
    </row>
    <row r="516" spans="1:3" x14ac:dyDescent="0.3">
      <c r="A516" s="8">
        <v>630</v>
      </c>
      <c r="B516" s="5" t="s">
        <v>6</v>
      </c>
      <c r="C516" s="5" t="s">
        <v>72</v>
      </c>
    </row>
    <row r="517" spans="1:3" x14ac:dyDescent="0.3">
      <c r="A517" s="8">
        <v>631</v>
      </c>
      <c r="B517" s="5" t="s">
        <v>1</v>
      </c>
      <c r="C517" s="5" t="s">
        <v>36</v>
      </c>
    </row>
    <row r="518" spans="1:3" x14ac:dyDescent="0.3">
      <c r="A518" s="8">
        <v>632</v>
      </c>
      <c r="B518" s="5" t="s">
        <v>1</v>
      </c>
      <c r="C518" s="5" t="s">
        <v>36</v>
      </c>
    </row>
    <row r="519" spans="1:3" x14ac:dyDescent="0.3">
      <c r="A519" s="8">
        <v>633</v>
      </c>
      <c r="B519" s="5" t="s">
        <v>1</v>
      </c>
      <c r="C519" s="5" t="s">
        <v>36</v>
      </c>
    </row>
    <row r="520" spans="1:3" x14ac:dyDescent="0.3">
      <c r="A520" s="8">
        <v>634</v>
      </c>
      <c r="B520" s="5" t="s">
        <v>1</v>
      </c>
      <c r="C520" s="5" t="s">
        <v>36</v>
      </c>
    </row>
    <row r="521" spans="1:3" x14ac:dyDescent="0.3">
      <c r="A521" s="8">
        <v>635</v>
      </c>
      <c r="B521" s="5" t="s">
        <v>1</v>
      </c>
      <c r="C521" s="5" t="s">
        <v>36</v>
      </c>
    </row>
    <row r="522" spans="1:3" x14ac:dyDescent="0.3">
      <c r="A522" s="8">
        <v>636</v>
      </c>
      <c r="B522" s="5" t="s">
        <v>1</v>
      </c>
      <c r="C522" s="5" t="s">
        <v>36</v>
      </c>
    </row>
    <row r="523" spans="1:3" x14ac:dyDescent="0.3">
      <c r="A523" s="8">
        <v>637</v>
      </c>
      <c r="B523" s="5" t="s">
        <v>13</v>
      </c>
      <c r="C523" s="5" t="s">
        <v>19</v>
      </c>
    </row>
    <row r="524" spans="1:3" x14ac:dyDescent="0.3">
      <c r="A524" s="8">
        <v>638</v>
      </c>
      <c r="B524" s="5" t="s">
        <v>86</v>
      </c>
      <c r="C524" s="5"/>
    </row>
    <row r="525" spans="1:3" x14ac:dyDescent="0.3">
      <c r="A525" s="8">
        <v>639</v>
      </c>
      <c r="B525" s="5" t="s">
        <v>86</v>
      </c>
      <c r="C525" s="5"/>
    </row>
    <row r="526" spans="1:3" x14ac:dyDescent="0.3">
      <c r="A526" s="8">
        <v>640</v>
      </c>
      <c r="B526" s="5" t="s">
        <v>86</v>
      </c>
      <c r="C526" s="5"/>
    </row>
    <row r="527" spans="1:3" x14ac:dyDescent="0.3">
      <c r="A527" s="8">
        <v>641</v>
      </c>
      <c r="B527" s="5" t="s">
        <v>86</v>
      </c>
      <c r="C527" s="5"/>
    </row>
    <row r="528" spans="1:3" x14ac:dyDescent="0.3">
      <c r="A528" s="8">
        <v>642</v>
      </c>
      <c r="B528" s="5" t="s">
        <v>76</v>
      </c>
      <c r="C528" s="5"/>
    </row>
    <row r="529" spans="1:3" x14ac:dyDescent="0.3">
      <c r="A529" s="8">
        <v>643</v>
      </c>
      <c r="B529" s="5" t="s">
        <v>76</v>
      </c>
      <c r="C529" s="5"/>
    </row>
    <row r="530" spans="1:3" x14ac:dyDescent="0.3">
      <c r="A530" s="8">
        <v>644</v>
      </c>
      <c r="B530" s="5" t="s">
        <v>76</v>
      </c>
      <c r="C530" s="5"/>
    </row>
    <row r="531" spans="1:3" x14ac:dyDescent="0.3">
      <c r="A531" s="8">
        <v>645</v>
      </c>
      <c r="B531" s="5" t="s">
        <v>76</v>
      </c>
      <c r="C531" s="5"/>
    </row>
    <row r="532" spans="1:3" x14ac:dyDescent="0.3">
      <c r="A532" s="8">
        <v>646</v>
      </c>
      <c r="B532" s="5" t="s">
        <v>76</v>
      </c>
      <c r="C532" s="5"/>
    </row>
    <row r="533" spans="1:3" x14ac:dyDescent="0.3">
      <c r="A533" s="8">
        <v>647</v>
      </c>
      <c r="B533" s="5" t="s">
        <v>76</v>
      </c>
      <c r="C533" s="5"/>
    </row>
    <row r="534" spans="1:3" x14ac:dyDescent="0.3">
      <c r="A534" s="8">
        <v>648</v>
      </c>
      <c r="B534" s="5" t="s">
        <v>13</v>
      </c>
      <c r="C534" s="5" t="s">
        <v>24</v>
      </c>
    </row>
    <row r="535" spans="1:3" x14ac:dyDescent="0.3">
      <c r="A535" s="8">
        <v>649</v>
      </c>
      <c r="B535" s="5" t="s">
        <v>13</v>
      </c>
      <c r="C535" s="5" t="s">
        <v>24</v>
      </c>
    </row>
    <row r="536" spans="1:3" x14ac:dyDescent="0.3">
      <c r="A536" s="8">
        <v>650</v>
      </c>
      <c r="B536" s="5" t="s">
        <v>87</v>
      </c>
      <c r="C536" s="5"/>
    </row>
    <row r="537" spans="1:3" x14ac:dyDescent="0.3">
      <c r="A537" s="8">
        <v>651</v>
      </c>
      <c r="B537" s="5" t="s">
        <v>52</v>
      </c>
      <c r="C537" s="5" t="s">
        <v>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7"/>
  <sheetViews>
    <sheetView workbookViewId="0">
      <selection activeCell="E23" sqref="E23"/>
    </sheetView>
  </sheetViews>
  <sheetFormatPr baseColWidth="10" defaultRowHeight="14.4" x14ac:dyDescent="0.3"/>
  <cols>
    <col min="1" max="1" width="17.44140625" style="12" bestFit="1" customWidth="1"/>
    <col min="2" max="2" width="37.88671875" bestFit="1" customWidth="1"/>
    <col min="3" max="3" width="16.6640625" bestFit="1" customWidth="1"/>
    <col min="8" max="8" width="19.77734375" style="20" customWidth="1"/>
    <col min="9" max="9" width="47.21875" style="20" customWidth="1"/>
    <col min="10" max="10" width="45.109375" style="20" customWidth="1"/>
  </cols>
  <sheetData>
    <row r="1" spans="1:5" x14ac:dyDescent="0.3">
      <c r="A1" s="11" t="s">
        <v>125</v>
      </c>
      <c r="B1" s="10" t="s">
        <v>126</v>
      </c>
      <c r="C1" s="10" t="s">
        <v>123</v>
      </c>
      <c r="D1" t="s">
        <v>128</v>
      </c>
      <c r="E1" t="s">
        <v>129</v>
      </c>
    </row>
    <row r="2" spans="1:5" x14ac:dyDescent="0.3">
      <c r="A2" s="8">
        <v>1</v>
      </c>
      <c r="B2" s="4" t="s">
        <v>45</v>
      </c>
      <c r="C2" s="8">
        <v>360</v>
      </c>
      <c r="D2" t="str">
        <f>VLOOKUP(C2,municipio!$A$2:$B$11,2)</f>
        <v>Itagüí</v>
      </c>
      <c r="E2" t="s">
        <v>141</v>
      </c>
    </row>
    <row r="3" spans="1:5" x14ac:dyDescent="0.3">
      <c r="A3" s="8">
        <v>2</v>
      </c>
      <c r="B3" s="4" t="s">
        <v>49</v>
      </c>
      <c r="C3" s="8">
        <v>360</v>
      </c>
      <c r="D3" t="str">
        <f>VLOOKUP(C3,municipio!$A$2:$B$11,2)</f>
        <v>Itagüí</v>
      </c>
      <c r="E3" t="s">
        <v>144</v>
      </c>
    </row>
    <row r="4" spans="1:5" x14ac:dyDescent="0.3">
      <c r="A4" s="8">
        <v>3</v>
      </c>
      <c r="B4" s="4" t="s">
        <v>46</v>
      </c>
      <c r="C4" s="8">
        <v>360</v>
      </c>
      <c r="D4" t="str">
        <f>VLOOKUP(C4,municipio!$A$2:$B$11,2)</f>
        <v>Itagüí</v>
      </c>
      <c r="E4" t="s">
        <v>143</v>
      </c>
    </row>
    <row r="5" spans="1:5" x14ac:dyDescent="0.3">
      <c r="A5" s="8">
        <v>4</v>
      </c>
      <c r="B5" s="4" t="s">
        <v>47</v>
      </c>
      <c r="C5" s="8">
        <v>360</v>
      </c>
      <c r="D5" t="str">
        <f>VLOOKUP(C5,municipio!$A$2:$B$11,2)</f>
        <v>Itagüí</v>
      </c>
      <c r="E5" t="s">
        <v>140</v>
      </c>
    </row>
    <row r="6" spans="1:5" x14ac:dyDescent="0.3">
      <c r="A6" s="8">
        <v>5</v>
      </c>
      <c r="B6" s="4" t="s">
        <v>49</v>
      </c>
      <c r="C6" s="8">
        <v>88</v>
      </c>
      <c r="D6" t="str">
        <f>VLOOKUP(C6,municipio!$A$2:$B$11,2)</f>
        <v>Bello</v>
      </c>
      <c r="E6" t="s">
        <v>145</v>
      </c>
    </row>
    <row r="7" spans="1:5" x14ac:dyDescent="0.3">
      <c r="A7" s="8">
        <v>6</v>
      </c>
      <c r="B7" s="4" t="s">
        <v>45</v>
      </c>
      <c r="C7" s="8">
        <v>88</v>
      </c>
      <c r="D7" t="str">
        <f>VLOOKUP(C7,municipio!$A$2:$B$11,2)</f>
        <v>Bello</v>
      </c>
      <c r="E7" t="s">
        <v>133</v>
      </c>
    </row>
    <row r="8" spans="1:5" x14ac:dyDescent="0.3">
      <c r="A8" s="8">
        <v>7</v>
      </c>
      <c r="B8" s="4" t="s">
        <v>50</v>
      </c>
      <c r="C8" s="8">
        <v>360</v>
      </c>
      <c r="D8" t="str">
        <f>VLOOKUP(C8,municipio!$A$2:$B$11,2)</f>
        <v>Itagüí</v>
      </c>
      <c r="E8" t="s">
        <v>139</v>
      </c>
    </row>
    <row r="9" spans="1:5" x14ac:dyDescent="0.3">
      <c r="A9" s="8">
        <v>8</v>
      </c>
      <c r="B9" s="4" t="s">
        <v>47</v>
      </c>
      <c r="C9" s="8">
        <v>88</v>
      </c>
      <c r="D9" t="str">
        <f>VLOOKUP(C9,municipio!$A$2:$B$11,2)</f>
        <v>Bello</v>
      </c>
      <c r="E9" t="s">
        <v>132</v>
      </c>
    </row>
    <row r="10" spans="1:5" x14ac:dyDescent="0.3">
      <c r="A10" s="8">
        <v>9</v>
      </c>
      <c r="B10" s="4" t="s">
        <v>42</v>
      </c>
      <c r="C10" s="8">
        <v>88</v>
      </c>
      <c r="D10" t="str">
        <f>VLOOKUP(C10,municipio!$A$2:$B$11,2)</f>
        <v>Bello</v>
      </c>
      <c r="E10" t="s">
        <v>134</v>
      </c>
    </row>
    <row r="11" spans="1:5" x14ac:dyDescent="0.3">
      <c r="A11" s="8">
        <v>10</v>
      </c>
      <c r="B11" s="4" t="s">
        <v>46</v>
      </c>
      <c r="C11" s="8">
        <v>88</v>
      </c>
      <c r="D11" t="str">
        <f>VLOOKUP(C11,municipio!$A$2:$B$11,2)</f>
        <v>Bello</v>
      </c>
      <c r="E11" t="s">
        <v>147</v>
      </c>
    </row>
    <row r="12" spans="1:5" x14ac:dyDescent="0.3">
      <c r="A12" s="8">
        <v>11</v>
      </c>
      <c r="B12" s="4" t="s">
        <v>19</v>
      </c>
      <c r="C12" s="8">
        <v>1</v>
      </c>
      <c r="D12" t="str">
        <f>VLOOKUP(C12,municipio!$A$2:$B$11,2)</f>
        <v>Medellín</v>
      </c>
      <c r="E12" s="16" t="str">
        <f t="shared" ref="E12:E23" si="0">B12</f>
        <v>Robledo</v>
      </c>
    </row>
    <row r="13" spans="1:5" x14ac:dyDescent="0.3">
      <c r="A13" s="8">
        <v>12</v>
      </c>
      <c r="B13" s="4" t="s">
        <v>28</v>
      </c>
      <c r="C13" s="8">
        <v>1</v>
      </c>
      <c r="D13" t="str">
        <f>VLOOKUP(C13,municipio!$A$2:$B$11,2)</f>
        <v>Medellín</v>
      </c>
      <c r="E13" s="16" t="str">
        <f t="shared" si="0"/>
        <v>El Poblado</v>
      </c>
    </row>
    <row r="14" spans="1:5" x14ac:dyDescent="0.3">
      <c r="A14" s="8">
        <v>13</v>
      </c>
      <c r="B14" s="4" t="s">
        <v>15</v>
      </c>
      <c r="C14" s="8">
        <v>1</v>
      </c>
      <c r="D14" t="str">
        <f>VLOOKUP(C14,municipio!$A$2:$B$11,2)</f>
        <v>Medellín</v>
      </c>
      <c r="E14" s="16" t="str">
        <f t="shared" si="0"/>
        <v>Manrique</v>
      </c>
    </row>
    <row r="15" spans="1:5" x14ac:dyDescent="0.3">
      <c r="A15" s="8">
        <v>14</v>
      </c>
      <c r="B15" s="4" t="s">
        <v>30</v>
      </c>
      <c r="C15" s="8">
        <v>1</v>
      </c>
      <c r="D15" t="str">
        <f>VLOOKUP(C15,municipio!$A$2:$B$11,2)</f>
        <v>Medellín</v>
      </c>
      <c r="E15" s="16" t="str">
        <f t="shared" si="0"/>
        <v>Guayabal</v>
      </c>
    </row>
    <row r="16" spans="1:5" x14ac:dyDescent="0.3">
      <c r="A16" s="8">
        <v>15</v>
      </c>
      <c r="B16" s="4" t="s">
        <v>22</v>
      </c>
      <c r="C16" s="8">
        <v>1</v>
      </c>
      <c r="D16" t="str">
        <f>VLOOKUP(C16,municipio!$A$2:$B$11,2)</f>
        <v>Medellín</v>
      </c>
      <c r="E16" s="16" t="str">
        <f t="shared" si="0"/>
        <v>Buenos Aires</v>
      </c>
    </row>
    <row r="17" spans="1:5" x14ac:dyDescent="0.3">
      <c r="A17" s="8">
        <v>16</v>
      </c>
      <c r="B17" s="4" t="s">
        <v>88</v>
      </c>
      <c r="C17" s="8">
        <v>1</v>
      </c>
      <c r="D17" t="str">
        <f>VLOOKUP(C17,municipio!$A$2:$B$11,2)</f>
        <v>Medellín</v>
      </c>
      <c r="E17" s="16" t="str">
        <f t="shared" si="0"/>
        <v>Belén</v>
      </c>
    </row>
    <row r="18" spans="1:5" x14ac:dyDescent="0.3">
      <c r="A18" s="8">
        <v>17</v>
      </c>
      <c r="B18" s="4" t="s">
        <v>17</v>
      </c>
      <c r="C18" s="8">
        <v>1</v>
      </c>
      <c r="D18" t="str">
        <f>VLOOKUP(C18,municipio!$A$2:$B$11,2)</f>
        <v>Medellín</v>
      </c>
      <c r="E18" s="16" t="str">
        <f t="shared" si="0"/>
        <v>Aranjuez</v>
      </c>
    </row>
    <row r="19" spans="1:5" x14ac:dyDescent="0.3">
      <c r="A19" s="8">
        <v>18</v>
      </c>
      <c r="B19" s="4" t="s">
        <v>89</v>
      </c>
      <c r="C19" s="8">
        <v>1</v>
      </c>
      <c r="D19" t="str">
        <f>VLOOKUP(C19,municipio!$A$2:$B$11,2)</f>
        <v>Medellín</v>
      </c>
      <c r="E19" s="16" t="str">
        <f t="shared" si="0"/>
        <v>La América</v>
      </c>
    </row>
    <row r="20" spans="1:5" x14ac:dyDescent="0.3">
      <c r="A20" s="8">
        <v>19</v>
      </c>
      <c r="B20" s="4" t="s">
        <v>23</v>
      </c>
      <c r="C20" s="8">
        <v>1</v>
      </c>
      <c r="D20" t="str">
        <f>VLOOKUP(C20,municipio!$A$2:$B$11,2)</f>
        <v>Medellín</v>
      </c>
      <c r="E20" s="16" t="str">
        <f t="shared" si="0"/>
        <v>La Candelaria</v>
      </c>
    </row>
    <row r="21" spans="1:5" x14ac:dyDescent="0.3">
      <c r="A21" s="8">
        <v>20</v>
      </c>
      <c r="B21" s="4" t="s">
        <v>21</v>
      </c>
      <c r="C21" s="8">
        <v>1</v>
      </c>
      <c r="D21" t="str">
        <f>VLOOKUP(C21,municipio!$A$2:$B$11,2)</f>
        <v>Medellín</v>
      </c>
      <c r="E21" s="16" t="str">
        <f t="shared" si="0"/>
        <v>Villa Hermosa</v>
      </c>
    </row>
    <row r="22" spans="1:5" x14ac:dyDescent="0.3">
      <c r="A22" s="8">
        <v>21</v>
      </c>
      <c r="B22" s="4" t="s">
        <v>90</v>
      </c>
      <c r="C22" s="8">
        <v>1</v>
      </c>
      <c r="D22" t="str">
        <f>VLOOKUP(C22,municipio!$A$2:$B$11,2)</f>
        <v>Medellín</v>
      </c>
      <c r="E22" s="16" t="str">
        <f t="shared" si="0"/>
        <v>Laureles-Estadio</v>
      </c>
    </row>
    <row r="23" spans="1:5" x14ac:dyDescent="0.3">
      <c r="A23" s="8">
        <v>22</v>
      </c>
      <c r="B23" s="4" t="s">
        <v>27</v>
      </c>
      <c r="C23" s="8">
        <v>1</v>
      </c>
      <c r="D23" t="str">
        <f>VLOOKUP(C23,municipio!$A$2:$B$11,2)</f>
        <v>Medellín</v>
      </c>
      <c r="E23" s="16" t="str">
        <f t="shared" si="0"/>
        <v>San Javier</v>
      </c>
    </row>
    <row r="24" spans="1:5" x14ac:dyDescent="0.3">
      <c r="A24" s="8">
        <v>23</v>
      </c>
      <c r="B24" s="4" t="s">
        <v>51</v>
      </c>
      <c r="C24" s="8">
        <v>360</v>
      </c>
      <c r="D24" t="str">
        <f>VLOOKUP(C24,municipio!$A$2:$B$11,2)</f>
        <v>Itagüí</v>
      </c>
      <c r="E24" t="s">
        <v>142</v>
      </c>
    </row>
    <row r="25" spans="1:5" x14ac:dyDescent="0.3">
      <c r="A25" s="8">
        <v>24</v>
      </c>
      <c r="B25" s="4" t="s">
        <v>130</v>
      </c>
      <c r="C25" s="8">
        <v>129</v>
      </c>
      <c r="D25" t="str">
        <f>VLOOKUP(C25,municipio!$A$2:$B$11,2)</f>
        <v>Caldas</v>
      </c>
      <c r="E25" s="16" t="str">
        <f>B25</f>
        <v>Urbana</v>
      </c>
    </row>
    <row r="26" spans="1:5" x14ac:dyDescent="0.3">
      <c r="A26" s="8">
        <v>25</v>
      </c>
      <c r="B26" s="4" t="s">
        <v>130</v>
      </c>
      <c r="C26" s="8">
        <v>380</v>
      </c>
      <c r="D26" t="str">
        <f>VLOOKUP(C26,municipio!$A$2:$B$11,2)</f>
        <v>La Estrella</v>
      </c>
      <c r="E26" s="16" t="str">
        <f>B26</f>
        <v>Urbana</v>
      </c>
    </row>
    <row r="27" spans="1:5" x14ac:dyDescent="0.3">
      <c r="A27" s="8">
        <v>26</v>
      </c>
      <c r="B27" s="4" t="s">
        <v>130</v>
      </c>
      <c r="C27" s="8">
        <v>79</v>
      </c>
      <c r="D27" t="str">
        <f>VLOOKUP(C27,municipio!$A$2:$B$11,2)</f>
        <v>Barbosa</v>
      </c>
      <c r="E27" s="16" t="str">
        <f>B27</f>
        <v>Urbana</v>
      </c>
    </row>
    <row r="28" spans="1:5" x14ac:dyDescent="0.3">
      <c r="A28" s="8">
        <v>27</v>
      </c>
      <c r="B28" s="4" t="s">
        <v>130</v>
      </c>
      <c r="C28" s="8">
        <v>308</v>
      </c>
      <c r="D28" t="str">
        <f>VLOOKUP(C28,municipio!$A$2:$B$11,2)</f>
        <v>Girardota</v>
      </c>
      <c r="E28" s="16" t="str">
        <f>B28</f>
        <v>Urbana</v>
      </c>
    </row>
    <row r="29" spans="1:5" x14ac:dyDescent="0.3">
      <c r="A29" s="8">
        <v>28</v>
      </c>
      <c r="B29" s="4" t="s">
        <v>50</v>
      </c>
      <c r="C29" s="8">
        <v>88</v>
      </c>
      <c r="D29" t="str">
        <f>VLOOKUP(C29,municipio!$A$2:$B$11,2)</f>
        <v>Bello</v>
      </c>
      <c r="E29" t="s">
        <v>137</v>
      </c>
    </row>
    <row r="30" spans="1:5" x14ac:dyDescent="0.3">
      <c r="A30" s="8">
        <v>29</v>
      </c>
      <c r="B30" s="4" t="s">
        <v>44</v>
      </c>
      <c r="C30" s="8">
        <v>88</v>
      </c>
      <c r="D30" t="str">
        <f>VLOOKUP(C30,municipio!$A$2:$B$11,2)</f>
        <v>Bello</v>
      </c>
      <c r="E30" t="s">
        <v>136</v>
      </c>
    </row>
    <row r="31" spans="1:5" x14ac:dyDescent="0.3">
      <c r="A31" s="8">
        <v>30</v>
      </c>
      <c r="B31" s="4" t="s">
        <v>18</v>
      </c>
      <c r="C31" s="8">
        <v>1</v>
      </c>
      <c r="D31" t="str">
        <f>VLOOKUP(C31,municipio!$A$2:$B$11,2)</f>
        <v>Medellín</v>
      </c>
      <c r="E31" s="16" t="str">
        <f>B31</f>
        <v>Castilla</v>
      </c>
    </row>
    <row r="32" spans="1:5" x14ac:dyDescent="0.3">
      <c r="A32" s="8">
        <v>31</v>
      </c>
      <c r="B32" s="4" t="s">
        <v>14</v>
      </c>
      <c r="C32" s="8">
        <v>1</v>
      </c>
      <c r="D32" t="str">
        <f>VLOOKUP(C32,municipio!$A$2:$B$11,2)</f>
        <v>Medellín</v>
      </c>
      <c r="E32" s="16" t="str">
        <f>B32</f>
        <v>Popular</v>
      </c>
    </row>
    <row r="33" spans="1:5" x14ac:dyDescent="0.3">
      <c r="A33" s="8">
        <v>32</v>
      </c>
      <c r="B33" s="4" t="s">
        <v>20</v>
      </c>
      <c r="C33" s="8">
        <v>1</v>
      </c>
      <c r="D33" t="str">
        <f>VLOOKUP(C33,municipio!$A$2:$B$11,2)</f>
        <v>Medellín</v>
      </c>
      <c r="E33" s="16" t="str">
        <f>B33</f>
        <v>Doce de Octubre</v>
      </c>
    </row>
    <row r="34" spans="1:5" x14ac:dyDescent="0.3">
      <c r="A34" s="8">
        <v>33</v>
      </c>
      <c r="B34" s="4" t="s">
        <v>16</v>
      </c>
      <c r="C34" s="8">
        <v>1</v>
      </c>
      <c r="D34" t="str">
        <f>VLOOKUP(C34,municipio!$A$2:$B$11,2)</f>
        <v>Medellín</v>
      </c>
      <c r="E34" s="16" t="str">
        <f>B34</f>
        <v>Santa Cruz</v>
      </c>
    </row>
    <row r="35" spans="1:5" x14ac:dyDescent="0.3">
      <c r="A35" s="8">
        <v>34</v>
      </c>
      <c r="B35" s="4" t="s">
        <v>48</v>
      </c>
      <c r="C35" s="8">
        <v>88</v>
      </c>
      <c r="D35" t="str">
        <f>VLOOKUP(C35,municipio!$A$2:$B$11,2)</f>
        <v>Bello</v>
      </c>
      <c r="E35" t="s">
        <v>146</v>
      </c>
    </row>
    <row r="36" spans="1:5" x14ac:dyDescent="0.3">
      <c r="A36" s="8">
        <v>35</v>
      </c>
      <c r="B36" s="4" t="s">
        <v>130</v>
      </c>
      <c r="C36" s="8">
        <v>212</v>
      </c>
      <c r="D36" t="str">
        <f>VLOOKUP(C36,municipio!$A$2:$B$11,2)</f>
        <v>Copacabana</v>
      </c>
      <c r="E36" s="16" t="str">
        <f>B36</f>
        <v>Urbana</v>
      </c>
    </row>
    <row r="37" spans="1:5" x14ac:dyDescent="0.3">
      <c r="A37" s="8">
        <v>36</v>
      </c>
      <c r="B37" s="4" t="s">
        <v>43</v>
      </c>
      <c r="C37" s="8">
        <v>88</v>
      </c>
      <c r="D37" t="str">
        <f>VLOOKUP(C37,municipio!$A$2:$B$11,2)</f>
        <v>Bello</v>
      </c>
      <c r="E37" t="s">
        <v>135</v>
      </c>
    </row>
    <row r="38" spans="1:5" x14ac:dyDescent="0.3">
      <c r="A38" s="8">
        <v>37</v>
      </c>
      <c r="B38" s="4" t="s">
        <v>41</v>
      </c>
      <c r="C38" s="8">
        <v>88</v>
      </c>
      <c r="D38" t="str">
        <f>VLOOKUP(C38,municipio!$A$2:$B$11,2)</f>
        <v>Bello</v>
      </c>
      <c r="E38" t="s">
        <v>149</v>
      </c>
    </row>
    <row r="39" spans="1:5" x14ac:dyDescent="0.3">
      <c r="A39" s="8">
        <v>38</v>
      </c>
      <c r="B39" s="4" t="s">
        <v>51</v>
      </c>
      <c r="C39" s="8">
        <v>88</v>
      </c>
      <c r="D39" t="str">
        <f>VLOOKUP(C39,municipio!$A$2:$B$11,2)</f>
        <v>Bello</v>
      </c>
      <c r="E39" t="s">
        <v>138</v>
      </c>
    </row>
    <row r="40" spans="1:5" x14ac:dyDescent="0.3">
      <c r="A40" s="8">
        <v>39</v>
      </c>
      <c r="B40" s="4" t="s">
        <v>84</v>
      </c>
      <c r="C40" s="8">
        <v>88</v>
      </c>
      <c r="D40" t="str">
        <f>VLOOKUP(C40,municipio!$A$2:$B$11,2)</f>
        <v>Bello</v>
      </c>
      <c r="E40" t="s">
        <v>148</v>
      </c>
    </row>
    <row r="41" spans="1:5" x14ac:dyDescent="0.3">
      <c r="A41" s="8">
        <v>40</v>
      </c>
      <c r="B41" s="4" t="s">
        <v>131</v>
      </c>
      <c r="C41" s="8">
        <v>88</v>
      </c>
      <c r="D41" t="str">
        <f>VLOOKUP(C41,municipio!$A$2:$B$11,2)</f>
        <v>Bello</v>
      </c>
      <c r="E41" s="16" t="str">
        <f t="shared" ref="E41:E51" si="1">B41</f>
        <v>Rural</v>
      </c>
    </row>
    <row r="42" spans="1:5" x14ac:dyDescent="0.3">
      <c r="A42" s="8">
        <v>41</v>
      </c>
      <c r="B42" s="4" t="s">
        <v>131</v>
      </c>
      <c r="C42" s="8">
        <v>79</v>
      </c>
      <c r="D42" t="str">
        <f>VLOOKUP(C42,municipio!$A$2:$B$11,2)</f>
        <v>Barbosa</v>
      </c>
      <c r="E42" s="16" t="str">
        <f t="shared" si="1"/>
        <v>Rural</v>
      </c>
    </row>
    <row r="43" spans="1:5" x14ac:dyDescent="0.3">
      <c r="A43" s="8">
        <v>42</v>
      </c>
      <c r="B43" s="4" t="s">
        <v>131</v>
      </c>
      <c r="C43" s="8">
        <v>212</v>
      </c>
      <c r="D43" t="str">
        <f>VLOOKUP(C43,municipio!$A$2:$B$11,2)</f>
        <v>Copacabana</v>
      </c>
      <c r="E43" s="16" t="str">
        <f t="shared" si="1"/>
        <v>Rural</v>
      </c>
    </row>
    <row r="44" spans="1:5" x14ac:dyDescent="0.3">
      <c r="A44" s="8">
        <v>43</v>
      </c>
      <c r="B44" s="4" t="s">
        <v>131</v>
      </c>
      <c r="C44" s="8">
        <v>308</v>
      </c>
      <c r="D44" t="str">
        <f>VLOOKUP(C44,municipio!$A$2:$B$11,2)</f>
        <v>Girardota</v>
      </c>
      <c r="E44" s="16" t="str">
        <f t="shared" si="1"/>
        <v>Rural</v>
      </c>
    </row>
    <row r="45" spans="1:5" x14ac:dyDescent="0.3">
      <c r="A45" s="8">
        <v>44</v>
      </c>
      <c r="B45" s="4" t="s">
        <v>163</v>
      </c>
      <c r="C45" s="8">
        <v>1</v>
      </c>
      <c r="D45" t="str">
        <f>VLOOKUP(C45,municipio!$A$2:$B$11,2)</f>
        <v>Medellín</v>
      </c>
      <c r="E45" s="16" t="str">
        <f t="shared" si="1"/>
        <v>Corregimiento San Sebastián</v>
      </c>
    </row>
    <row r="46" spans="1:5" x14ac:dyDescent="0.3">
      <c r="A46" s="8">
        <v>45</v>
      </c>
      <c r="B46" s="4" t="s">
        <v>91</v>
      </c>
      <c r="C46" s="8">
        <v>1</v>
      </c>
      <c r="D46" t="str">
        <f>VLOOKUP(C46,municipio!$A$2:$B$11,2)</f>
        <v>Medellín</v>
      </c>
      <c r="E46" s="16" t="str">
        <f t="shared" si="1"/>
        <v>Corregimiento San Cristóbal</v>
      </c>
    </row>
    <row r="47" spans="1:5" x14ac:dyDescent="0.3">
      <c r="A47" s="8">
        <v>46</v>
      </c>
      <c r="B47" s="4" t="s">
        <v>32</v>
      </c>
      <c r="C47" s="8">
        <v>1</v>
      </c>
      <c r="D47" t="str">
        <f>VLOOKUP(C47,municipio!$A$2:$B$11,2)</f>
        <v>Medellín</v>
      </c>
      <c r="E47" s="16" t="str">
        <f t="shared" si="1"/>
        <v>Corregimiento Altavista</v>
      </c>
    </row>
    <row r="48" spans="1:5" x14ac:dyDescent="0.3">
      <c r="A48" s="8">
        <v>47</v>
      </c>
      <c r="B48" s="4" t="s">
        <v>24</v>
      </c>
      <c r="C48" s="8">
        <v>1</v>
      </c>
      <c r="D48" t="str">
        <f>VLOOKUP(C48,municipio!$A$2:$B$11,2)</f>
        <v>Medellín</v>
      </c>
      <c r="E48" s="16" t="str">
        <f t="shared" si="1"/>
        <v>Corregimiento Santa Elena</v>
      </c>
    </row>
    <row r="49" spans="1:5" x14ac:dyDescent="0.3">
      <c r="A49" s="8">
        <v>48</v>
      </c>
      <c r="B49" s="4" t="s">
        <v>162</v>
      </c>
      <c r="C49" s="8">
        <v>1</v>
      </c>
      <c r="D49" t="str">
        <f>VLOOKUP(C49,municipio!$A$2:$B$11,2)</f>
        <v>Medellín</v>
      </c>
      <c r="E49" s="16" t="str">
        <f t="shared" si="1"/>
        <v>Corregimiento San Antonio</v>
      </c>
    </row>
    <row r="50" spans="1:5" x14ac:dyDescent="0.3">
      <c r="A50" s="8">
        <v>49</v>
      </c>
      <c r="B50" s="4" t="s">
        <v>131</v>
      </c>
      <c r="C50" s="8">
        <v>360</v>
      </c>
      <c r="D50" t="str">
        <f>VLOOKUP(C50,municipio!$A$2:$B$11,2)</f>
        <v>Itagüí</v>
      </c>
      <c r="E50" s="16" t="str">
        <f t="shared" si="1"/>
        <v>Rural</v>
      </c>
    </row>
    <row r="51" spans="1:5" x14ac:dyDescent="0.3">
      <c r="A51" s="8">
        <v>50</v>
      </c>
      <c r="B51" s="4" t="s">
        <v>131</v>
      </c>
      <c r="C51" s="8">
        <v>380</v>
      </c>
      <c r="D51" t="str">
        <f>VLOOKUP(C51,municipio!$A$2:$B$11,2)</f>
        <v>La Estrella</v>
      </c>
      <c r="E51" s="16" t="str">
        <f t="shared" si="1"/>
        <v>Rural</v>
      </c>
    </row>
    <row r="52" spans="1:5" x14ac:dyDescent="0.3">
      <c r="A52" s="8">
        <v>51</v>
      </c>
      <c r="B52" s="4" t="s">
        <v>59</v>
      </c>
      <c r="C52" s="8">
        <v>266</v>
      </c>
      <c r="D52" t="str">
        <f>VLOOKUP(C52,municipio!$A$2:$B$11,2)</f>
        <v>Envigado</v>
      </c>
      <c r="E52" t="s">
        <v>160</v>
      </c>
    </row>
    <row r="53" spans="1:5" x14ac:dyDescent="0.3">
      <c r="A53" s="8">
        <v>52</v>
      </c>
      <c r="B53" s="4" t="s">
        <v>63</v>
      </c>
      <c r="C53" s="8">
        <v>266</v>
      </c>
      <c r="D53" t="str">
        <f>VLOOKUP(C53,municipio!$A$2:$B$11,2)</f>
        <v>Envigado</v>
      </c>
      <c r="E53" t="s">
        <v>161</v>
      </c>
    </row>
    <row r="54" spans="1:5" x14ac:dyDescent="0.3">
      <c r="A54" s="8">
        <v>53</v>
      </c>
      <c r="B54" s="4" t="s">
        <v>58</v>
      </c>
      <c r="C54" s="8">
        <v>266</v>
      </c>
      <c r="D54" t="str">
        <f>VLOOKUP(C54,municipio!$A$2:$B$11,2)</f>
        <v>Envigado</v>
      </c>
      <c r="E54" t="s">
        <v>150</v>
      </c>
    </row>
    <row r="55" spans="1:5" x14ac:dyDescent="0.3">
      <c r="A55" s="8">
        <v>54</v>
      </c>
      <c r="B55" s="4" t="s">
        <v>56</v>
      </c>
      <c r="C55" s="8">
        <v>266</v>
      </c>
      <c r="D55" t="str">
        <f>VLOOKUP(C55,municipio!$A$2:$B$11,2)</f>
        <v>Envigado</v>
      </c>
      <c r="E55" t="s">
        <v>156</v>
      </c>
    </row>
    <row r="56" spans="1:5" x14ac:dyDescent="0.3">
      <c r="A56" s="8">
        <v>55</v>
      </c>
      <c r="B56" s="4" t="s">
        <v>65</v>
      </c>
      <c r="C56" s="8">
        <v>266</v>
      </c>
      <c r="D56" t="str">
        <f>VLOOKUP(C56,municipio!$A$2:$B$11,2)</f>
        <v>Envigado</v>
      </c>
      <c r="E56" t="s">
        <v>159</v>
      </c>
    </row>
    <row r="57" spans="1:5" x14ac:dyDescent="0.3">
      <c r="A57" s="8">
        <v>56</v>
      </c>
      <c r="B57" s="4" t="s">
        <v>55</v>
      </c>
      <c r="C57" s="8">
        <v>266</v>
      </c>
      <c r="D57" t="str">
        <f>VLOOKUP(C57,municipio!$A$2:$B$11,2)</f>
        <v>Envigado</v>
      </c>
      <c r="E57" t="s">
        <v>157</v>
      </c>
    </row>
    <row r="58" spans="1:5" x14ac:dyDescent="0.3">
      <c r="A58" s="8">
        <v>57</v>
      </c>
      <c r="B58" s="4" t="s">
        <v>57</v>
      </c>
      <c r="C58" s="8">
        <v>266</v>
      </c>
      <c r="D58" t="str">
        <f>VLOOKUP(C58,municipio!$A$2:$B$11,2)</f>
        <v>Envigado</v>
      </c>
      <c r="E58" t="s">
        <v>142</v>
      </c>
    </row>
    <row r="59" spans="1:5" x14ac:dyDescent="0.3">
      <c r="A59" s="8">
        <v>58</v>
      </c>
      <c r="B59" s="4" t="s">
        <v>54</v>
      </c>
      <c r="C59" s="8">
        <v>266</v>
      </c>
      <c r="D59" t="str">
        <f>VLOOKUP(C59,municipio!$A$2:$B$11,2)</f>
        <v>Envigado</v>
      </c>
      <c r="E59" t="s">
        <v>151</v>
      </c>
    </row>
    <row r="60" spans="1:5" x14ac:dyDescent="0.3">
      <c r="A60" s="8">
        <v>59</v>
      </c>
      <c r="B60" s="4" t="s">
        <v>64</v>
      </c>
      <c r="C60" s="8">
        <v>266</v>
      </c>
      <c r="D60" t="str">
        <f>VLOOKUP(C60,municipio!$A$2:$B$11,2)</f>
        <v>Envigado</v>
      </c>
      <c r="E60" t="s">
        <v>158</v>
      </c>
    </row>
    <row r="61" spans="1:5" x14ac:dyDescent="0.3">
      <c r="A61" s="8">
        <v>60</v>
      </c>
      <c r="B61" s="4" t="s">
        <v>70</v>
      </c>
      <c r="C61" s="8">
        <v>266</v>
      </c>
      <c r="D61" t="str">
        <f>VLOOKUP(C61,municipio!$A$2:$B$11,2)</f>
        <v>Envigado</v>
      </c>
      <c r="E61" t="s">
        <v>154</v>
      </c>
    </row>
    <row r="62" spans="1:5" x14ac:dyDescent="0.3">
      <c r="A62" s="8">
        <v>61</v>
      </c>
      <c r="B62" s="4" t="s">
        <v>71</v>
      </c>
      <c r="C62" s="8">
        <v>266</v>
      </c>
      <c r="D62" t="str">
        <f>VLOOKUP(C62,municipio!$A$2:$B$11,2)</f>
        <v>Envigado</v>
      </c>
      <c r="E62" t="s">
        <v>152</v>
      </c>
    </row>
    <row r="63" spans="1:5" x14ac:dyDescent="0.3">
      <c r="A63" s="8">
        <v>62</v>
      </c>
      <c r="B63" s="4" t="s">
        <v>85</v>
      </c>
      <c r="C63" s="8">
        <v>266</v>
      </c>
      <c r="D63" t="str">
        <f>VLOOKUP(C63,municipio!$A$2:$B$11,2)</f>
        <v>Envigado</v>
      </c>
      <c r="E63" t="s">
        <v>153</v>
      </c>
    </row>
    <row r="64" spans="1:5" x14ac:dyDescent="0.3">
      <c r="A64" s="8">
        <v>63</v>
      </c>
      <c r="B64" s="4" t="s">
        <v>69</v>
      </c>
      <c r="C64" s="8">
        <v>266</v>
      </c>
      <c r="D64" t="str">
        <f>VLOOKUP(C64,municipio!$A$2:$B$11,2)</f>
        <v>Envigado</v>
      </c>
      <c r="E64" t="s">
        <v>155</v>
      </c>
    </row>
    <row r="65" spans="1:5" x14ac:dyDescent="0.3">
      <c r="A65" s="8">
        <v>64</v>
      </c>
      <c r="B65" s="4" t="s">
        <v>130</v>
      </c>
      <c r="C65" s="8">
        <v>631</v>
      </c>
      <c r="D65" t="str">
        <f>VLOOKUP(C65,municipio!$A$2:$B$11,2)</f>
        <v>Sabaneta</v>
      </c>
      <c r="E65" s="16" t="str">
        <f>B65</f>
        <v>Urbana</v>
      </c>
    </row>
    <row r="66" spans="1:5" x14ac:dyDescent="0.3">
      <c r="A66" s="8">
        <v>65</v>
      </c>
      <c r="B66" s="4" t="s">
        <v>131</v>
      </c>
      <c r="C66" s="8">
        <v>631</v>
      </c>
      <c r="D66" t="str">
        <f>VLOOKUP(C66,municipio!$A$2:$B$11,2)</f>
        <v>Sabaneta</v>
      </c>
      <c r="E66" s="16" t="str">
        <f>B66</f>
        <v>Rural</v>
      </c>
    </row>
    <row r="67" spans="1:5" x14ac:dyDescent="0.3">
      <c r="A67" s="8">
        <v>66</v>
      </c>
      <c r="B67" s="4" t="s">
        <v>131</v>
      </c>
      <c r="C67" s="8">
        <v>129</v>
      </c>
      <c r="D67" t="str">
        <f>VLOOKUP(C67,municipio!$A$2:$B$11,2)</f>
        <v>Caldas</v>
      </c>
      <c r="E67" s="16" t="str">
        <f>B67</f>
        <v>Rural</v>
      </c>
    </row>
  </sheetData>
  <sortState xmlns:xlrd2="http://schemas.microsoft.com/office/spreadsheetml/2017/richdata2" ref="H2:J67">
    <sortCondition ref="I1:I67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896CA-5C07-4245-B3AF-BB7D297B88CA}">
  <dimension ref="A1:G67"/>
  <sheetViews>
    <sheetView tabSelected="1" workbookViewId="0">
      <selection activeCell="G67" sqref="G2:G67"/>
    </sheetView>
  </sheetViews>
  <sheetFormatPr baseColWidth="10" defaultRowHeight="14.4" x14ac:dyDescent="0.3"/>
  <cols>
    <col min="1" max="1" width="24.109375" customWidth="1"/>
    <col min="2" max="2" width="42.88671875" customWidth="1"/>
    <col min="3" max="3" width="36.88671875" customWidth="1"/>
  </cols>
  <sheetData>
    <row r="1" spans="1:7" x14ac:dyDescent="0.3">
      <c r="A1" s="17" t="s">
        <v>125</v>
      </c>
      <c r="B1" s="17" t="s">
        <v>164</v>
      </c>
      <c r="C1" s="17" t="s">
        <v>167</v>
      </c>
    </row>
    <row r="2" spans="1:7" x14ac:dyDescent="0.3">
      <c r="A2" s="18">
        <f>macozonas!A42</f>
        <v>41</v>
      </c>
      <c r="B2" s="19" t="str">
        <f>_xlfn.CONCAT(macozonas!D42," - ",macozonas!E42)</f>
        <v>Barbosa - Rural</v>
      </c>
      <c r="C2" s="19" t="s">
        <v>170</v>
      </c>
      <c r="G2" s="19" t="s">
        <v>191</v>
      </c>
    </row>
    <row r="3" spans="1:7" x14ac:dyDescent="0.3">
      <c r="A3" s="18">
        <f>macozonas!A27</f>
        <v>26</v>
      </c>
      <c r="B3" s="19" t="str">
        <f>_xlfn.CONCAT(macozonas!D27," - ",macozonas!E27)</f>
        <v>Barbosa - Urbana</v>
      </c>
      <c r="C3" s="19" t="s">
        <v>177</v>
      </c>
      <c r="G3" s="19" t="s">
        <v>210</v>
      </c>
    </row>
    <row r="4" spans="1:7" x14ac:dyDescent="0.3">
      <c r="A4" s="18">
        <f>macozonas!A35</f>
        <v>34</v>
      </c>
      <c r="B4" s="19" t="str">
        <f>_xlfn.CONCAT(macozonas!D35," - ",macozonas!E35)</f>
        <v>Bello - Acevedo</v>
      </c>
      <c r="C4" s="19" t="s">
        <v>178</v>
      </c>
      <c r="G4" s="19" t="s">
        <v>213</v>
      </c>
    </row>
    <row r="5" spans="1:7" x14ac:dyDescent="0.3">
      <c r="A5" s="18">
        <f>macozonas!A10</f>
        <v>9</v>
      </c>
      <c r="B5" s="19" t="str">
        <f>_xlfn.CONCAT(macozonas!D10," - ",macozonas!E10)</f>
        <v>Bello - Altos de Niquía</v>
      </c>
      <c r="C5" s="19" t="s">
        <v>179</v>
      </c>
      <c r="G5" s="19" t="s">
        <v>221</v>
      </c>
    </row>
    <row r="6" spans="1:7" x14ac:dyDescent="0.3">
      <c r="A6" s="18">
        <f>macozonas!A7</f>
        <v>6</v>
      </c>
      <c r="B6" s="19" t="str">
        <f>_xlfn.CONCAT(macozonas!D7," - ",macozonas!E7)</f>
        <v>Bello - Bellavista</v>
      </c>
      <c r="C6" s="19" t="s">
        <v>180</v>
      </c>
      <c r="G6" s="19" t="s">
        <v>220</v>
      </c>
    </row>
    <row r="7" spans="1:7" x14ac:dyDescent="0.3">
      <c r="A7" s="18">
        <f>macozonas!A11</f>
        <v>10</v>
      </c>
      <c r="B7" s="19" t="str">
        <f>_xlfn.CONCAT(macozonas!D11," - ",macozonas!E11)</f>
        <v>Bello - Centro Bello</v>
      </c>
      <c r="C7" s="19" t="s">
        <v>208</v>
      </c>
      <c r="G7" s="19" t="s">
        <v>222</v>
      </c>
    </row>
    <row r="8" spans="1:7" x14ac:dyDescent="0.3">
      <c r="A8" s="18">
        <f>macozonas!A40</f>
        <v>39</v>
      </c>
      <c r="B8" s="19" t="str">
        <f>_xlfn.CONCAT(macozonas!D40," - ",macozonas!E40)</f>
        <v>Bello - Croacia - El Pinar</v>
      </c>
      <c r="C8" s="19" t="s">
        <v>206</v>
      </c>
      <c r="G8" s="19" t="s">
        <v>228</v>
      </c>
    </row>
    <row r="9" spans="1:7" x14ac:dyDescent="0.3">
      <c r="A9" s="18">
        <f>macozonas!A30</f>
        <v>29</v>
      </c>
      <c r="B9" s="19" t="str">
        <f>_xlfn.CONCAT(macozonas!D30," - ",macozonas!E30)</f>
        <v>Bello - Fontidueño</v>
      </c>
      <c r="C9" s="19" t="s">
        <v>207</v>
      </c>
      <c r="G9" s="19" t="s">
        <v>219</v>
      </c>
    </row>
    <row r="10" spans="1:7" x14ac:dyDescent="0.3">
      <c r="A10" s="18">
        <f>macozonas!A38</f>
        <v>37</v>
      </c>
      <c r="B10" s="19" t="str">
        <f>_xlfn.CONCAT(macozonas!D38," - ",macozonas!E38)</f>
        <v>Bello - Guasimalito</v>
      </c>
      <c r="C10" s="19" t="s">
        <v>202</v>
      </c>
      <c r="G10" s="19" t="s">
        <v>190</v>
      </c>
    </row>
    <row r="11" spans="1:7" x14ac:dyDescent="0.3">
      <c r="A11" s="18">
        <f>macozonas!A6</f>
        <v>5</v>
      </c>
      <c r="B11" s="19" t="str">
        <f>_xlfn.CONCAT(macozonas!D6," - ",macozonas!E6)</f>
        <v>Bello - La Cumbre - El Carmelo</v>
      </c>
      <c r="C11" s="19" t="s">
        <v>203</v>
      </c>
      <c r="G11" s="19" t="s">
        <v>212</v>
      </c>
    </row>
    <row r="12" spans="1:7" x14ac:dyDescent="0.3">
      <c r="A12" s="18">
        <f>macozonas!A29</f>
        <v>28</v>
      </c>
      <c r="B12" s="19" t="str">
        <f>_xlfn.CONCAT(macozonas!D29," - ",macozonas!E29)</f>
        <v>Bello - Madera</v>
      </c>
      <c r="C12" s="19" t="s">
        <v>200</v>
      </c>
      <c r="G12" s="19" t="s">
        <v>168</v>
      </c>
    </row>
    <row r="13" spans="1:7" x14ac:dyDescent="0.3">
      <c r="A13" s="18">
        <f>macozonas!A37</f>
        <v>36</v>
      </c>
      <c r="B13" s="19" t="str">
        <f>_xlfn.CONCAT(macozonas!D37," - ",macozonas!E37)</f>
        <v>Bello - Niquía</v>
      </c>
      <c r="C13" s="19" t="s">
        <v>201</v>
      </c>
      <c r="G13" s="19" t="s">
        <v>224</v>
      </c>
    </row>
    <row r="14" spans="1:7" x14ac:dyDescent="0.3">
      <c r="A14" s="18">
        <f>macozonas!A39</f>
        <v>38</v>
      </c>
      <c r="B14" s="19" t="str">
        <f>_xlfn.CONCAT(macozonas!D39," - ",macozonas!E39)</f>
        <v>Bello - Paris</v>
      </c>
      <c r="C14" s="19" t="s">
        <v>204</v>
      </c>
      <c r="G14" s="19" t="s">
        <v>192</v>
      </c>
    </row>
    <row r="15" spans="1:7" x14ac:dyDescent="0.3">
      <c r="A15" s="18">
        <f>macozonas!A41</f>
        <v>40</v>
      </c>
      <c r="B15" s="19" t="str">
        <f>_xlfn.CONCAT(macozonas!D41," - ",macozonas!E41)</f>
        <v>Bello - Rural</v>
      </c>
      <c r="C15" s="19" t="s">
        <v>205</v>
      </c>
      <c r="G15" s="19" t="s">
        <v>171</v>
      </c>
    </row>
    <row r="16" spans="1:7" x14ac:dyDescent="0.3">
      <c r="A16" s="18">
        <f>macozonas!A9</f>
        <v>8</v>
      </c>
      <c r="B16" s="19" t="str">
        <f>_xlfn.CONCAT(macozonas!D9," - ",macozonas!E9)</f>
        <v>Bello - Santa Ana</v>
      </c>
      <c r="C16" s="19" t="s">
        <v>199</v>
      </c>
      <c r="G16" s="19" t="s">
        <v>223</v>
      </c>
    </row>
    <row r="17" spans="1:7" x14ac:dyDescent="0.3">
      <c r="A17" s="18">
        <f>macozonas!A67</f>
        <v>66</v>
      </c>
      <c r="B17" s="19" t="str">
        <f>_xlfn.CONCAT(macozonas!D67," - ",macozonas!E67)</f>
        <v>Caldas - Rural</v>
      </c>
      <c r="C17" s="19" t="s">
        <v>196</v>
      </c>
      <c r="G17" s="19" t="s">
        <v>229</v>
      </c>
    </row>
    <row r="18" spans="1:7" x14ac:dyDescent="0.3">
      <c r="A18" s="18">
        <f>macozonas!A25</f>
        <v>24</v>
      </c>
      <c r="B18" s="19" t="str">
        <f>_xlfn.CONCAT(macozonas!D25," - ",macozonas!E25)</f>
        <v>Caldas - Urbana</v>
      </c>
      <c r="C18" s="19" t="s">
        <v>197</v>
      </c>
      <c r="G18" s="19" t="s">
        <v>217</v>
      </c>
    </row>
    <row r="19" spans="1:7" x14ac:dyDescent="0.3">
      <c r="A19" s="18">
        <f>macozonas!A43</f>
        <v>42</v>
      </c>
      <c r="B19" s="19" t="str">
        <f>_xlfn.CONCAT(macozonas!D43," - ",macozonas!E43)</f>
        <v>Copacabana - Rural</v>
      </c>
      <c r="C19" s="19" t="s">
        <v>198</v>
      </c>
      <c r="G19" s="19" t="s">
        <v>227</v>
      </c>
    </row>
    <row r="20" spans="1:7" x14ac:dyDescent="0.3">
      <c r="A20" s="18">
        <f>macozonas!A36</f>
        <v>35</v>
      </c>
      <c r="B20" s="19" t="str">
        <f>_xlfn.CONCAT(macozonas!D36," - ",macozonas!E36)</f>
        <v>Copacabana - Urbana</v>
      </c>
      <c r="C20" s="19" t="s">
        <v>195</v>
      </c>
      <c r="G20" s="19" t="s">
        <v>225</v>
      </c>
    </row>
    <row r="21" spans="1:7" x14ac:dyDescent="0.3">
      <c r="A21" s="18">
        <f>macozonas!A55</f>
        <v>54</v>
      </c>
      <c r="B21" s="19" t="str">
        <f>_xlfn.CONCAT(macozonas!D55," - ",macozonas!E55)</f>
        <v>Envigado - Alcalá</v>
      </c>
      <c r="C21" s="19" t="s">
        <v>214</v>
      </c>
      <c r="G21" s="19" t="s">
        <v>226</v>
      </c>
    </row>
    <row r="22" spans="1:7" x14ac:dyDescent="0.3">
      <c r="A22" s="18">
        <f>macozonas!A54</f>
        <v>53</v>
      </c>
      <c r="B22" s="19" t="str">
        <f>_xlfn.CONCAT(macozonas!D54," - ",macozonas!E54)</f>
        <v>Envigado - El Dorado - La Paz</v>
      </c>
      <c r="C22" s="19" t="s">
        <v>215</v>
      </c>
      <c r="G22" s="19" t="s">
        <v>169</v>
      </c>
    </row>
    <row r="23" spans="1:7" x14ac:dyDescent="0.3">
      <c r="A23" s="18">
        <f>macozonas!A57</f>
        <v>56</v>
      </c>
      <c r="B23" s="19" t="str">
        <f>_xlfn.CONCAT(macozonas!D57," - ",macozonas!E57)</f>
        <v>Envigado - El Esmeraldal</v>
      </c>
      <c r="C23" s="19" t="s">
        <v>183</v>
      </c>
      <c r="G23" s="19" t="s">
        <v>170</v>
      </c>
    </row>
    <row r="24" spans="1:7" x14ac:dyDescent="0.3">
      <c r="A24" s="18">
        <f>macozonas!A60</f>
        <v>59</v>
      </c>
      <c r="B24" s="19" t="str">
        <f>_xlfn.CONCAT(macozonas!D60," - ",macozonas!E60)</f>
        <v>Envigado - La Inmaculada</v>
      </c>
      <c r="C24" s="19" t="s">
        <v>209</v>
      </c>
      <c r="G24" s="19" t="s">
        <v>177</v>
      </c>
    </row>
    <row r="25" spans="1:7" x14ac:dyDescent="0.3">
      <c r="A25" s="18">
        <f>macozonas!A56</f>
        <v>55</v>
      </c>
      <c r="B25" s="19" t="str">
        <f>_xlfn.CONCAT(macozonas!D56," - ",macozonas!E56)</f>
        <v>Envigado - Las Flores - Alto de Misael</v>
      </c>
      <c r="C25" s="19" t="s">
        <v>211</v>
      </c>
      <c r="G25" s="19" t="s">
        <v>178</v>
      </c>
    </row>
    <row r="26" spans="1:7" x14ac:dyDescent="0.3">
      <c r="A26" s="18">
        <f>macozonas!A52</f>
        <v>51</v>
      </c>
      <c r="B26" s="19" t="str">
        <f>_xlfn.CONCAT(macozonas!D52," - ",macozonas!E52)</f>
        <v>Envigado - Las Vegas</v>
      </c>
      <c r="C26" s="19" t="s">
        <v>175</v>
      </c>
      <c r="G26" s="19" t="s">
        <v>179</v>
      </c>
    </row>
    <row r="27" spans="1:7" x14ac:dyDescent="0.3">
      <c r="A27" s="18">
        <f>macozonas!A53</f>
        <v>52</v>
      </c>
      <c r="B27" s="19" t="str">
        <f>_xlfn.CONCAT(macozonas!D53," - ",macozonas!E53)</f>
        <v>Envigado - San José</v>
      </c>
      <c r="C27" s="19" t="s">
        <v>174</v>
      </c>
      <c r="G27" s="19" t="s">
        <v>180</v>
      </c>
    </row>
    <row r="28" spans="1:7" x14ac:dyDescent="0.3">
      <c r="A28" s="18">
        <f>macozonas!A59</f>
        <v>58</v>
      </c>
      <c r="B28" s="19" t="str">
        <f>_xlfn.CONCAT(macozonas!D59," - ",macozonas!E59)</f>
        <v>Envigado - San Marcos</v>
      </c>
      <c r="C28" s="19" t="s">
        <v>176</v>
      </c>
      <c r="G28" s="19" t="s">
        <v>208</v>
      </c>
    </row>
    <row r="29" spans="1:7" x14ac:dyDescent="0.3">
      <c r="A29" s="18">
        <f>macozonas!A62</f>
        <v>61</v>
      </c>
      <c r="B29" s="19" t="str">
        <f>_xlfn.CONCAT(macozonas!D62," - ",macozonas!E62)</f>
        <v>Envigado - Vereda El Escobero</v>
      </c>
      <c r="C29" s="19" t="s">
        <v>193</v>
      </c>
      <c r="G29" s="19" t="s">
        <v>206</v>
      </c>
    </row>
    <row r="30" spans="1:7" x14ac:dyDescent="0.3">
      <c r="A30" s="18">
        <f>macozonas!A63</f>
        <v>62</v>
      </c>
      <c r="B30" s="19" t="str">
        <f>_xlfn.CONCAT(macozonas!D63," - ",macozonas!E63)</f>
        <v>Envigado - Vereda El Vallano</v>
      </c>
      <c r="C30" s="19" t="s">
        <v>182</v>
      </c>
      <c r="G30" s="19" t="s">
        <v>207</v>
      </c>
    </row>
    <row r="31" spans="1:7" x14ac:dyDescent="0.3">
      <c r="A31" s="18">
        <f>macozonas!A61</f>
        <v>60</v>
      </c>
      <c r="B31" s="19" t="str">
        <f>_xlfn.CONCAT(macozonas!D61," - ",macozonas!E61)</f>
        <v>Envigado - Vereda Las Palmas</v>
      </c>
      <c r="C31" s="19" t="s">
        <v>185</v>
      </c>
      <c r="G31" s="19" t="s">
        <v>202</v>
      </c>
    </row>
    <row r="32" spans="1:7" x14ac:dyDescent="0.3">
      <c r="A32" s="18">
        <f>macozonas!A64</f>
        <v>63</v>
      </c>
      <c r="B32" s="19" t="str">
        <f>_xlfn.CONCAT(macozonas!D64," - ",macozonas!E64)</f>
        <v>Envigado - Vereda Perico y Pantanillo</v>
      </c>
      <c r="C32" s="19" t="s">
        <v>194</v>
      </c>
      <c r="G32" s="19" t="s">
        <v>203</v>
      </c>
    </row>
    <row r="33" spans="1:7" x14ac:dyDescent="0.3">
      <c r="A33" s="18">
        <f>macozonas!A58</f>
        <v>57</v>
      </c>
      <c r="B33" s="19" t="str">
        <f>_xlfn.CONCAT(macozonas!D58," - ",macozonas!E58)</f>
        <v>Envigado - Z. Centro</v>
      </c>
      <c r="C33" s="19" t="s">
        <v>186</v>
      </c>
      <c r="G33" s="19" t="s">
        <v>200</v>
      </c>
    </row>
    <row r="34" spans="1:7" x14ac:dyDescent="0.3">
      <c r="A34" s="18">
        <f>macozonas!A44</f>
        <v>43</v>
      </c>
      <c r="B34" s="19" t="str">
        <f>_xlfn.CONCAT(macozonas!D44," - ",macozonas!E44)</f>
        <v>Girardota - Rural</v>
      </c>
      <c r="C34" s="19" t="s">
        <v>187</v>
      </c>
      <c r="G34" s="19" t="s">
        <v>201</v>
      </c>
    </row>
    <row r="35" spans="1:7" x14ac:dyDescent="0.3">
      <c r="A35" s="18">
        <f>macozonas!A28</f>
        <v>27</v>
      </c>
      <c r="B35" s="19" t="str">
        <f>_xlfn.CONCAT(macozonas!D28," - ",macozonas!E28)</f>
        <v>Girardota - Urbana</v>
      </c>
      <c r="C35" s="19" t="s">
        <v>173</v>
      </c>
      <c r="G35" s="19" t="s">
        <v>204</v>
      </c>
    </row>
    <row r="36" spans="1:7" x14ac:dyDescent="0.3">
      <c r="A36" s="18">
        <f>macozonas!A3</f>
        <v>2</v>
      </c>
      <c r="B36" s="19" t="str">
        <f>_xlfn.CONCAT(macozonas!D3," - ",macozonas!E3)</f>
        <v>Itagüí - Calatrava</v>
      </c>
      <c r="C36" s="19" t="s">
        <v>172</v>
      </c>
      <c r="G36" s="19" t="s">
        <v>205</v>
      </c>
    </row>
    <row r="37" spans="1:7" x14ac:dyDescent="0.3">
      <c r="A37" s="18">
        <f>macozonas!A2</f>
        <v>1</v>
      </c>
      <c r="B37" s="19" t="str">
        <f>_xlfn.CONCAT(macozonas!D2," - ",macozonas!E2)</f>
        <v>Itagüí - El Rosario</v>
      </c>
      <c r="C37" s="19" t="s">
        <v>216</v>
      </c>
      <c r="G37" s="19" t="s">
        <v>199</v>
      </c>
    </row>
    <row r="38" spans="1:7" x14ac:dyDescent="0.3">
      <c r="A38" s="18">
        <f>macozonas!A50</f>
        <v>49</v>
      </c>
      <c r="B38" s="19" t="str">
        <f>_xlfn.CONCAT(macozonas!D50," - ",macozonas!E50)</f>
        <v>Itagüí - Rural</v>
      </c>
      <c r="C38" s="19" t="s">
        <v>218</v>
      </c>
      <c r="G38" s="19" t="s">
        <v>196</v>
      </c>
    </row>
    <row r="39" spans="1:7" x14ac:dyDescent="0.3">
      <c r="A39" s="18">
        <f>macozonas!A5</f>
        <v>4</v>
      </c>
      <c r="B39" s="19" t="str">
        <f>_xlfn.CONCAT(macozonas!D5," - ",macozonas!E5)</f>
        <v>Itagüí - San Francisco</v>
      </c>
      <c r="C39" s="19" t="s">
        <v>188</v>
      </c>
      <c r="G39" s="19" t="s">
        <v>197</v>
      </c>
    </row>
    <row r="40" spans="1:7" x14ac:dyDescent="0.3">
      <c r="A40" s="18">
        <f>macozonas!A8</f>
        <v>7</v>
      </c>
      <c r="B40" s="19" t="str">
        <f>_xlfn.CONCAT(macozonas!D8," - ",macozonas!E8)</f>
        <v>Itagüí - San Pio</v>
      </c>
      <c r="C40" s="19" t="s">
        <v>184</v>
      </c>
      <c r="G40" s="19" t="s">
        <v>198</v>
      </c>
    </row>
    <row r="41" spans="1:7" x14ac:dyDescent="0.3">
      <c r="A41" s="18">
        <f>macozonas!A4</f>
        <v>3</v>
      </c>
      <c r="B41" s="19" t="str">
        <f>_xlfn.CONCAT(macozonas!D4," - ",macozonas!E4)</f>
        <v>Itagüí - Santa Maria</v>
      </c>
      <c r="C41" s="19" t="s">
        <v>189</v>
      </c>
      <c r="G41" s="19" t="s">
        <v>195</v>
      </c>
    </row>
    <row r="42" spans="1:7" x14ac:dyDescent="0.3">
      <c r="A42" s="18">
        <f>macozonas!A24</f>
        <v>23</v>
      </c>
      <c r="B42" s="19" t="str">
        <f>_xlfn.CONCAT(macozonas!D24," - ",macozonas!E24)</f>
        <v>Itagüí - Z. Centro</v>
      </c>
      <c r="C42" s="19" t="s">
        <v>165</v>
      </c>
      <c r="G42" s="19" t="s">
        <v>214</v>
      </c>
    </row>
    <row r="43" spans="1:7" x14ac:dyDescent="0.3">
      <c r="A43" s="18">
        <f>macozonas!A51</f>
        <v>50</v>
      </c>
      <c r="B43" s="19" t="str">
        <f>_xlfn.CONCAT(macozonas!D51," - ",macozonas!E51)</f>
        <v>La Estrella - Rural</v>
      </c>
      <c r="C43" s="19" t="s">
        <v>166</v>
      </c>
      <c r="G43" s="19" t="s">
        <v>215</v>
      </c>
    </row>
    <row r="44" spans="1:7" x14ac:dyDescent="0.3">
      <c r="A44" s="18">
        <f>macozonas!A26</f>
        <v>25</v>
      </c>
      <c r="B44" s="19" t="str">
        <f>_xlfn.CONCAT(macozonas!D26," - ",macozonas!E26)</f>
        <v>La Estrella - Urbana</v>
      </c>
      <c r="C44" s="19" t="s">
        <v>181</v>
      </c>
      <c r="G44" s="19" t="s">
        <v>183</v>
      </c>
    </row>
    <row r="45" spans="1:7" x14ac:dyDescent="0.3">
      <c r="A45" s="18">
        <f>macozonas!A18</f>
        <v>17</v>
      </c>
      <c r="B45" s="19" t="str">
        <f>_xlfn.CONCAT(macozonas!D18," - ",macozonas!E18)</f>
        <v>Medellín - Aranjuez</v>
      </c>
      <c r="C45" s="19" t="s">
        <v>191</v>
      </c>
      <c r="G45" s="19" t="s">
        <v>209</v>
      </c>
    </row>
    <row r="46" spans="1:7" x14ac:dyDescent="0.3">
      <c r="A46" s="18">
        <f>macozonas!A17</f>
        <v>16</v>
      </c>
      <c r="B46" s="19" t="str">
        <f>_xlfn.CONCAT(macozonas!D17," - ",macozonas!E17)</f>
        <v>Medellín - Belén</v>
      </c>
      <c r="C46" s="19" t="s">
        <v>210</v>
      </c>
      <c r="G46" s="19" t="s">
        <v>211</v>
      </c>
    </row>
    <row r="47" spans="1:7" x14ac:dyDescent="0.3">
      <c r="A47" s="18">
        <f>macozonas!A16</f>
        <v>15</v>
      </c>
      <c r="B47" s="19" t="str">
        <f>_xlfn.CONCAT(macozonas!D16," - ",macozonas!E16)</f>
        <v>Medellín - Buenos Aires</v>
      </c>
      <c r="C47" s="19" t="s">
        <v>213</v>
      </c>
      <c r="G47" s="19" t="s">
        <v>175</v>
      </c>
    </row>
    <row r="48" spans="1:7" x14ac:dyDescent="0.3">
      <c r="A48" s="18">
        <f>macozonas!A31</f>
        <v>30</v>
      </c>
      <c r="B48" s="19" t="str">
        <f>_xlfn.CONCAT(macozonas!D31," - ",macozonas!E31)</f>
        <v>Medellín - Castilla</v>
      </c>
      <c r="C48" s="19" t="s">
        <v>221</v>
      </c>
      <c r="G48" s="19" t="s">
        <v>174</v>
      </c>
    </row>
    <row r="49" spans="1:7" x14ac:dyDescent="0.3">
      <c r="A49" s="18">
        <f>macozonas!A47</f>
        <v>46</v>
      </c>
      <c r="B49" s="19" t="str">
        <f>_xlfn.CONCAT(macozonas!D47," - ",macozonas!E47)</f>
        <v>Medellín - Corregimiento Altavista</v>
      </c>
      <c r="C49" s="19" t="s">
        <v>220</v>
      </c>
      <c r="G49" s="19" t="s">
        <v>176</v>
      </c>
    </row>
    <row r="50" spans="1:7" x14ac:dyDescent="0.3">
      <c r="A50" s="18">
        <f>macozonas!A49</f>
        <v>48</v>
      </c>
      <c r="B50" s="19" t="str">
        <f>_xlfn.CONCAT(macozonas!D49," - ",macozonas!E49)</f>
        <v>Medellín - Corregimiento San Antonio</v>
      </c>
      <c r="C50" s="19" t="s">
        <v>222</v>
      </c>
      <c r="G50" s="19" t="s">
        <v>193</v>
      </c>
    </row>
    <row r="51" spans="1:7" x14ac:dyDescent="0.3">
      <c r="A51" s="18">
        <f>macozonas!A46</f>
        <v>45</v>
      </c>
      <c r="B51" s="19" t="str">
        <f>_xlfn.CONCAT(macozonas!D46," - ",macozonas!E46)</f>
        <v>Medellín - Corregimiento San Cristóbal</v>
      </c>
      <c r="C51" s="19" t="s">
        <v>228</v>
      </c>
      <c r="G51" s="19" t="s">
        <v>182</v>
      </c>
    </row>
    <row r="52" spans="1:7" x14ac:dyDescent="0.3">
      <c r="A52" s="18">
        <f>macozonas!A45</f>
        <v>44</v>
      </c>
      <c r="B52" s="19" t="str">
        <f>_xlfn.CONCAT(macozonas!D45," - ",macozonas!E45)</f>
        <v>Medellín - Corregimiento San Sebastián</v>
      </c>
      <c r="C52" s="19" t="s">
        <v>219</v>
      </c>
      <c r="G52" s="19" t="s">
        <v>185</v>
      </c>
    </row>
    <row r="53" spans="1:7" x14ac:dyDescent="0.3">
      <c r="A53" s="18">
        <f>macozonas!A48</f>
        <v>47</v>
      </c>
      <c r="B53" s="19" t="str">
        <f>_xlfn.CONCAT(macozonas!D48," - ",macozonas!E48)</f>
        <v>Medellín - Corregimiento Santa Elena</v>
      </c>
      <c r="C53" s="19" t="s">
        <v>190</v>
      </c>
      <c r="G53" s="19" t="s">
        <v>194</v>
      </c>
    </row>
    <row r="54" spans="1:7" x14ac:dyDescent="0.3">
      <c r="A54" s="18">
        <f>macozonas!A33</f>
        <v>32</v>
      </c>
      <c r="B54" s="19" t="str">
        <f>_xlfn.CONCAT(macozonas!D33," - ",macozonas!E33)</f>
        <v>Medellín - Doce de Octubre</v>
      </c>
      <c r="C54" s="19" t="s">
        <v>212</v>
      </c>
      <c r="G54" s="19" t="s">
        <v>186</v>
      </c>
    </row>
    <row r="55" spans="1:7" x14ac:dyDescent="0.3">
      <c r="A55" s="18">
        <f>macozonas!A13</f>
        <v>12</v>
      </c>
      <c r="B55" s="19" t="str">
        <f>_xlfn.CONCAT(macozonas!D13," - ",macozonas!E13)</f>
        <v>Medellín - El Poblado</v>
      </c>
      <c r="C55" s="19" t="s">
        <v>168</v>
      </c>
      <c r="G55" s="19" t="s">
        <v>187</v>
      </c>
    </row>
    <row r="56" spans="1:7" x14ac:dyDescent="0.3">
      <c r="A56" s="18">
        <f>macozonas!A15</f>
        <v>14</v>
      </c>
      <c r="B56" s="19" t="str">
        <f>_xlfn.CONCAT(macozonas!D15," - ",macozonas!E15)</f>
        <v>Medellín - Guayabal</v>
      </c>
      <c r="C56" s="19" t="s">
        <v>224</v>
      </c>
      <c r="G56" s="19" t="s">
        <v>173</v>
      </c>
    </row>
    <row r="57" spans="1:7" x14ac:dyDescent="0.3">
      <c r="A57" s="18">
        <f>macozonas!A19</f>
        <v>18</v>
      </c>
      <c r="B57" s="19" t="str">
        <f>_xlfn.CONCAT(macozonas!D19," - ",macozonas!E19)</f>
        <v>Medellín - La América</v>
      </c>
      <c r="C57" s="19" t="s">
        <v>192</v>
      </c>
      <c r="G57" s="19" t="s">
        <v>172</v>
      </c>
    </row>
    <row r="58" spans="1:7" x14ac:dyDescent="0.3">
      <c r="A58" s="18">
        <f>macozonas!A20</f>
        <v>19</v>
      </c>
      <c r="B58" s="19" t="str">
        <f>_xlfn.CONCAT(macozonas!D20," - ",macozonas!E20)</f>
        <v>Medellín - La Candelaria</v>
      </c>
      <c r="C58" s="19" t="s">
        <v>171</v>
      </c>
      <c r="G58" s="19" t="s">
        <v>216</v>
      </c>
    </row>
    <row r="59" spans="1:7" x14ac:dyDescent="0.3">
      <c r="A59" s="18">
        <f>macozonas!A22</f>
        <v>21</v>
      </c>
      <c r="B59" s="19" t="str">
        <f>_xlfn.CONCAT(macozonas!D22," - ",macozonas!E22)</f>
        <v>Medellín - Laureles-Estadio</v>
      </c>
      <c r="C59" s="19" t="s">
        <v>223</v>
      </c>
      <c r="G59" s="19" t="s">
        <v>218</v>
      </c>
    </row>
    <row r="60" spans="1:7" x14ac:dyDescent="0.3">
      <c r="A60" s="18">
        <f>macozonas!A14</f>
        <v>13</v>
      </c>
      <c r="B60" s="19" t="str">
        <f>_xlfn.CONCAT(macozonas!D14," - ",macozonas!E14)</f>
        <v>Medellín - Manrique</v>
      </c>
      <c r="C60" s="19" t="s">
        <v>229</v>
      </c>
      <c r="G60" s="19" t="s">
        <v>188</v>
      </c>
    </row>
    <row r="61" spans="1:7" x14ac:dyDescent="0.3">
      <c r="A61" s="18">
        <f>macozonas!A32</f>
        <v>31</v>
      </c>
      <c r="B61" s="19" t="str">
        <f>_xlfn.CONCAT(macozonas!D32," - ",macozonas!E32)</f>
        <v>Medellín - Popular</v>
      </c>
      <c r="C61" s="19" t="s">
        <v>217</v>
      </c>
      <c r="G61" s="19" t="s">
        <v>184</v>
      </c>
    </row>
    <row r="62" spans="1:7" x14ac:dyDescent="0.3">
      <c r="A62" s="18">
        <f>macozonas!A12</f>
        <v>11</v>
      </c>
      <c r="B62" s="19" t="str">
        <f>_xlfn.CONCAT(macozonas!D12," - ",macozonas!E12)</f>
        <v>Medellín - Robledo</v>
      </c>
      <c r="C62" s="19" t="s">
        <v>227</v>
      </c>
      <c r="G62" s="19" t="s">
        <v>189</v>
      </c>
    </row>
    <row r="63" spans="1:7" x14ac:dyDescent="0.3">
      <c r="A63" s="18">
        <f>macozonas!A23</f>
        <v>22</v>
      </c>
      <c r="B63" s="19" t="str">
        <f>_xlfn.CONCAT(macozonas!D23," - ",macozonas!E23)</f>
        <v>Medellín - San Javier</v>
      </c>
      <c r="C63" s="19" t="s">
        <v>225</v>
      </c>
      <c r="G63" s="19" t="s">
        <v>165</v>
      </c>
    </row>
    <row r="64" spans="1:7" x14ac:dyDescent="0.3">
      <c r="A64" s="18">
        <f>macozonas!A34</f>
        <v>33</v>
      </c>
      <c r="B64" s="19" t="str">
        <f>_xlfn.CONCAT(macozonas!D34," - ",macozonas!E34)</f>
        <v>Medellín - Santa Cruz</v>
      </c>
      <c r="C64" s="19" t="s">
        <v>226</v>
      </c>
      <c r="G64" s="19" t="s">
        <v>166</v>
      </c>
    </row>
    <row r="65" spans="1:7" x14ac:dyDescent="0.3">
      <c r="A65" s="18">
        <f>macozonas!A21</f>
        <v>20</v>
      </c>
      <c r="B65" s="19" t="str">
        <f>_xlfn.CONCAT(macozonas!D21," - ",macozonas!E21)</f>
        <v>Medellín - Villa Hermosa</v>
      </c>
      <c r="C65" s="19" t="s">
        <v>169</v>
      </c>
      <c r="D65" t="s">
        <v>232</v>
      </c>
      <c r="G65" s="19" t="s">
        <v>181</v>
      </c>
    </row>
    <row r="66" spans="1:7" x14ac:dyDescent="0.3">
      <c r="A66" s="18">
        <f>macozonas!A66</f>
        <v>65</v>
      </c>
      <c r="B66" s="19" t="str">
        <f>_xlfn.CONCAT(macozonas!D66," - ",macozonas!E66)</f>
        <v>Sabaneta - Rural</v>
      </c>
      <c r="C66" s="19" t="s">
        <v>230</v>
      </c>
      <c r="D66" t="s">
        <v>232</v>
      </c>
      <c r="G66" s="19" t="s">
        <v>230</v>
      </c>
    </row>
    <row r="67" spans="1:7" x14ac:dyDescent="0.3">
      <c r="A67" s="18">
        <f>macozonas!A65</f>
        <v>64</v>
      </c>
      <c r="B67" s="19" t="str">
        <f>_xlfn.CONCAT(macozonas!D65," - ",macozonas!E65)</f>
        <v>Sabaneta - Urbana</v>
      </c>
      <c r="C67" s="19" t="s">
        <v>231</v>
      </c>
      <c r="D67" s="21"/>
      <c r="G67" s="19" t="s">
        <v>231</v>
      </c>
    </row>
  </sheetData>
  <autoFilter ref="A1:C1" xr:uid="{443896CA-5C07-4245-B3AF-BB7D297B88CA}">
    <sortState xmlns:xlrd2="http://schemas.microsoft.com/office/spreadsheetml/2017/richdata2" ref="A2:C67">
      <sortCondition ref="B1"/>
    </sortState>
  </autoFilter>
  <conditionalFormatting sqref="B2:B67">
    <cfRule type="expression" dxfId="0" priority="1">
      <formula>COUNTIF($C$2:$C$67, B2) &gt; 0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4"/>
  <sheetViews>
    <sheetView workbookViewId="0">
      <selection activeCell="E8" sqref="E8"/>
    </sheetView>
  </sheetViews>
  <sheetFormatPr baseColWidth="10" defaultRowHeight="14.4" x14ac:dyDescent="0.3"/>
  <cols>
    <col min="1" max="1" width="16.44140625" bestFit="1" customWidth="1"/>
    <col min="2" max="2" width="11.5546875" bestFit="1" customWidth="1"/>
    <col min="3" max="3" width="14.88671875" bestFit="1" customWidth="1"/>
    <col min="4" max="4" width="48.6640625" customWidth="1"/>
  </cols>
  <sheetData>
    <row r="1" spans="1:4" x14ac:dyDescent="0.3">
      <c r="A1" s="1" t="s">
        <v>92</v>
      </c>
      <c r="B1" s="1" t="s">
        <v>127</v>
      </c>
      <c r="C1" s="1" t="s">
        <v>93</v>
      </c>
      <c r="D1" s="1" t="s">
        <v>94</v>
      </c>
    </row>
    <row r="2" spans="1:4" x14ac:dyDescent="0.3">
      <c r="A2" s="22" t="s">
        <v>95</v>
      </c>
      <c r="B2" s="13">
        <v>800</v>
      </c>
      <c r="C2" s="2" t="s">
        <v>96</v>
      </c>
      <c r="D2" s="2" t="s">
        <v>97</v>
      </c>
    </row>
    <row r="3" spans="1:4" ht="24" x14ac:dyDescent="0.3">
      <c r="A3" s="23"/>
      <c r="B3" s="13">
        <v>801</v>
      </c>
      <c r="C3" s="2" t="s">
        <v>98</v>
      </c>
      <c r="D3" s="2" t="s">
        <v>99</v>
      </c>
    </row>
    <row r="4" spans="1:4" ht="24" x14ac:dyDescent="0.3">
      <c r="A4" s="23"/>
      <c r="B4" s="13">
        <v>802</v>
      </c>
      <c r="C4" s="2" t="s">
        <v>100</v>
      </c>
      <c r="D4" s="2" t="s">
        <v>101</v>
      </c>
    </row>
    <row r="5" spans="1:4" ht="46.8" x14ac:dyDescent="0.3">
      <c r="A5" s="23"/>
      <c r="B5" s="13">
        <v>803</v>
      </c>
      <c r="C5" s="2" t="s">
        <v>102</v>
      </c>
      <c r="D5" s="2" t="s">
        <v>103</v>
      </c>
    </row>
    <row r="6" spans="1:4" ht="24" x14ac:dyDescent="0.3">
      <c r="A6" s="23"/>
      <c r="B6" s="13">
        <v>804</v>
      </c>
      <c r="C6" s="2" t="s">
        <v>104</v>
      </c>
      <c r="D6" s="2" t="s">
        <v>105</v>
      </c>
    </row>
    <row r="7" spans="1:4" ht="35.4" x14ac:dyDescent="0.3">
      <c r="A7" s="23"/>
      <c r="B7" s="13">
        <v>805</v>
      </c>
      <c r="C7" s="2" t="s">
        <v>106</v>
      </c>
      <c r="D7" s="2" t="s">
        <v>107</v>
      </c>
    </row>
    <row r="8" spans="1:4" ht="35.4" x14ac:dyDescent="0.3">
      <c r="A8" s="23"/>
      <c r="B8" s="13">
        <v>806</v>
      </c>
      <c r="C8" s="2" t="s">
        <v>108</v>
      </c>
      <c r="D8" s="2" t="s">
        <v>109</v>
      </c>
    </row>
    <row r="9" spans="1:4" ht="35.4" x14ac:dyDescent="0.3">
      <c r="A9" s="24"/>
      <c r="B9" s="13">
        <v>807</v>
      </c>
      <c r="C9" s="2" t="s">
        <v>110</v>
      </c>
      <c r="D9" s="2" t="s">
        <v>111</v>
      </c>
    </row>
    <row r="10" spans="1:4" x14ac:dyDescent="0.3">
      <c r="A10" s="22" t="s">
        <v>112</v>
      </c>
      <c r="B10" s="13">
        <v>808</v>
      </c>
      <c r="C10" s="2" t="s">
        <v>113</v>
      </c>
      <c r="D10" s="2" t="s">
        <v>114</v>
      </c>
    </row>
    <row r="11" spans="1:4" x14ac:dyDescent="0.3">
      <c r="A11" s="23"/>
      <c r="B11" s="13">
        <v>809</v>
      </c>
      <c r="C11" s="2" t="s">
        <v>115</v>
      </c>
      <c r="D11" s="2" t="s">
        <v>116</v>
      </c>
    </row>
    <row r="12" spans="1:4" x14ac:dyDescent="0.3">
      <c r="A12" s="23"/>
      <c r="B12" s="13">
        <v>810</v>
      </c>
      <c r="C12" s="2" t="s">
        <v>117</v>
      </c>
      <c r="D12" s="2" t="s">
        <v>118</v>
      </c>
    </row>
    <row r="13" spans="1:4" ht="24" x14ac:dyDescent="0.3">
      <c r="A13" s="23"/>
      <c r="B13" s="13">
        <v>811</v>
      </c>
      <c r="C13" s="2" t="s">
        <v>119</v>
      </c>
      <c r="D13" s="2" t="s">
        <v>120</v>
      </c>
    </row>
    <row r="14" spans="1:4" ht="35.4" x14ac:dyDescent="0.3">
      <c r="A14" s="24"/>
      <c r="B14" s="13">
        <v>812</v>
      </c>
      <c r="C14" s="2" t="s">
        <v>121</v>
      </c>
      <c r="D14" s="2" t="s">
        <v>122</v>
      </c>
    </row>
  </sheetData>
  <mergeCells count="2">
    <mergeCell ref="A2:A9"/>
    <mergeCell ref="A10:A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municipio</vt:lpstr>
      <vt:lpstr>zonas sit</vt:lpstr>
      <vt:lpstr>macozonas</vt:lpstr>
      <vt:lpstr>Hoja1</vt:lpstr>
      <vt:lpstr>SIT ext Antioquia y resto pais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Nicolás Rincón Sánchez</cp:lastModifiedBy>
  <dcterms:created xsi:type="dcterms:W3CDTF">2017-04-25T21:56:49Z</dcterms:created>
  <dcterms:modified xsi:type="dcterms:W3CDTF">2025-12-01T09:09:05Z</dcterms:modified>
</cp:coreProperties>
</file>